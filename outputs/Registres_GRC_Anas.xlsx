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db4ac7ec6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ques SSI" sheetId="1" r:id="Recb1bb3e6358423e"/>
    <x:sheet xmlns:r="http://schemas.openxmlformats.org/officeDocument/2006/relationships" name="Risques TPRM" sheetId="2" r:id="Ref7eed9c7a5a4c14"/>
    <x:sheet xmlns:r="http://schemas.openxmlformats.org/officeDocument/2006/relationships" name="Actions" sheetId="3" r:id="Rd2c044f5f95543e2"/>
    <x:sheet xmlns:r="http://schemas.openxmlformats.org/officeDocument/2006/relationships" name="Conditions" sheetId="4" r:id="R9b736586681a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sz val="11"/>
      <x:color rgb="FF253247"/>
      <x:name val="Arial"/>
    </x:font>
    <x:font>
      <x:b/>
      <x:sz val="16"/>
      <x:color rgb="FF203044"/>
      <x:name val="Arial"/>
    </x:font>
    <x:font>
      <x:i/>
      <x:sz val="10"/>
      <x:color rgb="FF25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044"/>
      </x:patternFill>
    </x:fill>
    <x:fill>
      <x:patternFill patternType="solid">
        <x:fgColor rgb="FFFFF6D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4">
    <x:dxf>
      <x:font>
        <x:b/>
        <x:color rgb="FF9C2424"/>
      </x:font>
      <x:fill>
        <x:patternFill>
          <x:bgColor rgb="FFFBE5E5"/>
        </x:patternFill>
      </x:fill>
    </x:dxf>
    <x:dxf>
      <x:font>
        <x:color rgb="FF805000"/>
      </x:font>
      <x:fill>
        <x:patternFill>
          <x:bgColor rgb="FFFFF0D7"/>
        </x:patternFill>
      </x:fill>
    </x:dxf>
    <x:dxf>
      <x:font>
        <x:color rgb="FF9C2424"/>
      </x:font>
      <x:fill>
        <x:patternFill>
          <x:bgColor rgb="FFFBE5E5"/>
        </x:patternFill>
      </x:fill>
    </x:dxf>
    <x:dxf>
      <x:font>
        <x:b/>
        <x:color rgb="FF9C2424"/>
      </x:font>
      <x:fill>
        <x:patternFill>
          <x:bgColor rgb="FFFBE5E5"/>
        </x:patternFill>
      </x:fill>
    </x:dxf>
    <x:dxf>
      <x:font>
        <x:color rgb="FF805000"/>
      </x:font>
      <x:fill>
        <x:patternFill>
          <x:bgColor rgb="FFFFF0D7"/>
        </x:patternFill>
      </x:fill>
    </x:dxf>
    <x:dxf>
      <x:font>
        <x:color rgb="FF9C2424"/>
      </x:font>
      <x:fill>
        <x:patternFill>
          <x:bgColor rgb="FFFBE5E5"/>
        </x:patternFill>
      </x:fill>
    </x:dxf>
    <x:dxf>
      <x:font>
        <x:b/>
        <x:color rgb="FF9C2424"/>
      </x:font>
      <x:fill>
        <x:patternFill>
          <x:bgColor rgb="FFFBE5E5"/>
        </x:patternFill>
      </x:fill>
    </x:dxf>
    <x:dxf>
      <x:font>
        <x:color rgb="FF805000"/>
      </x:font>
      <x:fill>
        <x:patternFill>
          <x:bgColor rgb="FFFFF0D7"/>
        </x:patternFill>
      </x:fill>
    </x:dxf>
    <x:dxf>
      <x:font>
        <x:color rgb="FF9C2424"/>
      </x:font>
      <x:fill>
        <x:patternFill>
          <x:bgColor rgb="FFFBE5E5"/>
        </x:patternFill>
      </x:fill>
    </x:dxf>
    <x:dxf>
      <x:font>
        <x:b/>
        <x:color rgb="FF9C2424"/>
      </x:font>
      <x:fill>
        <x:patternFill>
          <x:bgColor rgb="FFFBE5E5"/>
        </x:patternFill>
      </x:fill>
    </x:dxf>
    <x:dxf>
      <x:font>
        <x:color rgb="FF805000"/>
      </x:font>
      <x:fill>
        <x:patternFill>
          <x:bgColor rgb="FFFFF0D7"/>
        </x:patternFill>
      </x:fill>
    </x:dxf>
    <x:dxf>
      <x:font>
        <x:color rgb="FF9C2424"/>
      </x:font>
      <x:fill>
        <x:patternFill>
          <x:bgColor rgb="FFFBE5E5"/>
        </x:patternFill>
      </x:fill>
    </x:dxf>
    <x:dxf>
      <x:font>
        <x:b/>
        <x:color rgb="FF9C2424"/>
      </x:font>
      <x:fill>
        <x:patternFill patternType="solid">
          <x:bgColor rgb="FFFBE5E5"/>
        </x:patternFill>
      </x:fill>
    </x:dxf>
    <x:dxf>
      <x:font>
        <x:b/>
        <x:color rgb="FF9C2424"/>
      </x:font>
      <x:fill>
        <x:patternFill patternType="solid">
          <x:bgColor rgb="FFFB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cc9703a674a02" /><Relationship Type="http://schemas.openxmlformats.org/officeDocument/2006/relationships/theme" Target="/xl/theme/theme1.xml" Id="R29fc024a6f3d4ef9" /><Relationship Type="http://schemas.microsoft.com/office/2022/11/relationships/FeaturePropertyBag" Target="/xl/featurePropertyBag/featurePropertyBag.xml" Id="R2d2ceb89f72548b6" /><Relationship Type="http://schemas.openxmlformats.org/officeDocument/2006/relationships/sharedStrings" Target="/xl/sharedStrings.xml" Id="Rc06b2fc7193340e7" /><Relationship Type="http://schemas.openxmlformats.org/officeDocument/2006/relationships/worksheet" Target="/xl/worksheets/sheet1.xml" Id="Recb1bb3e6358423e" /><Relationship Type="http://schemas.openxmlformats.org/officeDocument/2006/relationships/worksheet" Target="/xl/worksheets/sheet2.xml" Id="Ref7eed9c7a5a4c14" /><Relationship Type="http://schemas.openxmlformats.org/officeDocument/2006/relationships/worksheet" Target="/xl/worksheets/sheet3.xml" Id="Rd2c044f5f95543e2" /><Relationship Type="http://schemas.openxmlformats.org/officeDocument/2006/relationships/worksheet" Target="/xl/worksheets/sheet4.xml" Id="R9b736586681a4b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isquesSSI" displayName="RisquesSSI" ref="A14:O26" headerRowCount="1" totalsRowCount="0" totalsRowShown="0">
  <x:tableColumns count="15">
    <x:tableColumn id="1" name="ID"/>
    <x:tableColumn id="2" name="Scénario"/>
    <x:tableColumn id="3" name="Propriétaire"/>
    <x:tableColumn id="4" name="V inh."/>
    <x:tableColumn id="5" name="I inh."/>
    <x:tableColumn id="6" name="Score inh."/>
    <x:tableColumn id="7" name="V actuel"/>
    <x:tableColumn id="8" name="I actuel"/>
    <x:tableColumn id="9" name="Score actuel"/>
    <x:tableColumn id="10" name="Niveau actuel"/>
    <x:tableColumn id="11" name="V cible"/>
    <x:tableColumn id="12" name="I cible"/>
    <x:tableColumn id="13" name="Score cible"/>
    <x:tableColumn id="14" name="Niveau cible"/>
    <x:tableColumn id="15" name="Traite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quesTPRM" displayName="RisquesTPRM" ref="A14:O22" headerRowCount="1" totalsRowCount="0" totalsRowShown="0">
  <x:tableColumns count="15">
    <x:tableColumn id="1" name="ID"/>
    <x:tableColumn id="2" name="Scénario"/>
    <x:tableColumn id="3" name="Propriétaire"/>
    <x:tableColumn id="4" name="V inh."/>
    <x:tableColumn id="5" name="I inh."/>
    <x:tableColumn id="6" name="Score inh."/>
    <x:tableColumn id="7" name="V actuel"/>
    <x:tableColumn id="8" name="I actuel"/>
    <x:tableColumn id="9" name="Score actuel"/>
    <x:tableColumn id="10" name="Niveau actuel"/>
    <x:tableColumn id="11" name="V cible"/>
    <x:tableColumn id="12" name="I cible"/>
    <x:tableColumn id="13" name="Score cible"/>
    <x:tableColumn id="14" name="Niveau cible"/>
    <x:tableColumn id="15" name="Traite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sGRC" displayName="ActionsGRC" ref="A14:K34" headerRowCount="1" totalsRowCount="0" totalsRowShown="0">
  <x:tableColumns count="11">
    <x:tableColumn id="1" name="Action"/>
    <x:tableColumn id="2" name="Risque constat"/>
    <x:tableColumn id="3" name="Traitement demandé"/>
    <x:tableColumn id="4" name="Pilote"/>
    <x:tableColumn id="5" name="Échéances du cas"/>
    <x:tableColumn id="6" name="État"/>
    <x:tableColumn id="7" name="Preuve attendue"/>
    <x:tableColumn id="8" name="Pièce reçue"/>
    <x:tableColumn id="9" name="Relecteur"/>
    <x:tableColumn id="10" name="Date vérifiée"/>
    <x:tableColumn id="11" name="Suite à don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ditionsGRC" displayName="ConditionsGRC" ref="A14:G20" headerRowCount="1" totalsRowCount="0" totalsRowShown="0">
  <x:tableColumns count="7">
    <x:tableColumn id="1" name="Condition"/>
    <x:tableColumn id="2" name="Actions"/>
    <x:tableColumn id="3" name="Objet"/>
    <x:tableColumn id="4" name="État de référence"/>
    <x:tableColumn id="5" name="Pièces pertinentes"/>
    <x:tableColumn id="6" name="Décision motivée"/>
    <x:tableColumn id="7" name="Date rev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5db032583149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e3b5f283f446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64b477988649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9153843e2a47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7.5" hidden="0" customWidth="1"/>
    <x:col min="2" max="2" width="46.25" hidden="0" customWidth="1"/>
    <x:col min="3" max="3" width="11.25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9.380000114440918" hidden="0" customWidth="1"/>
    <x:col min="10" max="10" width="13.130000114440918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  <x:col min="14" max="14" width="13.75" hidden="0" customWidth="1"/>
    <x:col min="15" max="15" width="29.37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Risques SSI Atlas Services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Cas fictif au 07/10/2026. Cibles conditionnelles. Les tests personnels ne clôturent aucune action.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 t="str">
        <x:v>Niveau</x:v>
      </x:c>
      <x:c r="B5" s="1" t="str">
        <x:v>Actuel estimé</x:v>
      </x:c>
      <x:c r="C5" s="1" t="str">
        <x:v>Cible conditionnelle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 t="str">
        <x:v>Faible</x:v>
      </x:c>
      <x:c r="B6" s="1" t="n">
        <x:f>COUNTIFS(J15:J26,A6)</x:f>
        <x:v>0</x:v>
      </x:c>
      <x:c r="C6" s="1" t="n">
        <x:f>COUNTIFS(N15:N26,A6)</x:f>
        <x:v>3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" t="str">
        <x:v>Modéré</x:v>
      </x:c>
      <x:c r="B7" s="1" t="n">
        <x:f>COUNTIFS(J15:J26,A7)</x:f>
        <x:v>2</x:v>
      </x:c>
      <x:c r="C7" s="1" t="n">
        <x:f>COUNTIFS(N15:N26,A7)</x:f>
        <x:v>9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 t="str">
        <x:v>Élevé</x:v>
      </x:c>
      <x:c r="B8" s="1" t="n">
        <x:f>COUNTIFS(J15:J26,A8)</x:f>
        <x:v>5</x:v>
      </x:c>
      <x:c r="C8" s="1" t="n">
        <x:f>COUNTIFS(N15:N26,A8)</x:f>
        <x:v>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 t="str">
        <x:v>Critique</x:v>
      </x:c>
      <x:c r="B9" s="1" t="n">
        <x:f>COUNTIFS(J15:J26,A9)</x:f>
        <x:v>5</x:v>
      </x:c>
      <x:c r="C9" s="1" t="n">
        <x:f>COUNTIFS(N15:N26,A9)</x:f>
        <x:v>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 t="str">
        <x:v>Non coté</x:v>
      </x:c>
      <x:c r="B10" s="1" t="n">
        <x:f>COUNTIFS(J15:J26,"À compléter")</x:f>
        <x:v>0</x:v>
      </x:c>
      <x:c r="C10" s="1" t="n">
        <x:f>COUNTIFS(N15:N26,"À compléter")</x:f>
        <x:v>0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1" t="str">
        <x:v>Échelle locale : 1 à 4 faible ; 5 à 9 modéré ; 10 à 15 élevé ; 16 à 25 critique. V et I : entiers de 1 à 5.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 t="str">
        <x:v>Source : Projet_1_SSI/02_methode_registre_risques.md ; V/I initiaux issus du registre Markdown. Justifier tout changement dans le dossier.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36" customHeight="1">
      <x:c r="A14" s="8" t="str">
        <x:v>ID</x:v>
      </x:c>
      <x:c r="B14" s="8" t="str">
        <x:v>Scénario</x:v>
      </x:c>
      <x:c r="C14" s="8" t="str">
        <x:v>Propriétaire</x:v>
      </x:c>
      <x:c r="D14" s="8" t="str">
        <x:v>V inh.</x:v>
      </x:c>
      <x:c r="E14" s="8" t="str">
        <x:v>I inh.</x:v>
      </x:c>
      <x:c r="F14" s="8" t="str">
        <x:v>Score inh.</x:v>
      </x:c>
      <x:c r="G14" s="8" t="str">
        <x:v>V actuel</x:v>
      </x:c>
      <x:c r="H14" s="8" t="str">
        <x:v>I actuel</x:v>
      </x:c>
      <x:c r="I14" s="8" t="str">
        <x:v>Score actuel</x:v>
      </x:c>
      <x:c r="J14" s="8" t="str">
        <x:v>Niveau actuel</x:v>
      </x:c>
      <x:c r="K14" s="8" t="str">
        <x:v>V cible</x:v>
      </x:c>
      <x:c r="L14" s="8" t="str">
        <x:v>I cible</x:v>
      </x:c>
      <x:c r="M14" s="8" t="str">
        <x:v>Score cible</x:v>
      </x:c>
      <x:c r="N14" s="8" t="str">
        <x:v>Niveau cible</x:v>
      </x:c>
      <x:c r="O14" s="8" t="str">
        <x:v>Traitement</x:v>
      </x:c>
    </x:row>
    <x:row r="15" ht="58" customHeight="1">
      <x:c r="A15" s="10" t="str">
        <x:v>R01</x:v>
      </x:c>
      <x:c r="B15" s="10" t="str">
        <x:v>Vol ou partage d'un compte privilégié permettant une prise de contrôle d'A01/A04</x:v>
      </x:c>
      <x:c r="C15" s="10" t="str">
        <x:v>RI</x:v>
      </x:c>
      <x:c r="D15" s="11" t="n">
        <x:v>4</x:v>
      </x:c>
      <x:c r="E15" s="11" t="n">
        <x:v>5</x:v>
      </x:c>
      <x:c r="F15" s="10" t="n">
        <x:f>IF(AND(ISNUMBER(D15),ISNUMBER(E15)),IF(AND(D15&gt;=1,D15&lt;=5,E15&gt;=1,E15&lt;=5,D15=INT(D15),E15=INT(E15)),D15*E15,"À compléter"),"À compléter")</x:f>
        <x:v>20</x:v>
      </x:c>
      <x:c r="G15" s="11" t="n">
        <x:v>4</x:v>
      </x:c>
      <x:c r="H15" s="11" t="n">
        <x:v>5</x:v>
      </x:c>
      <x:c r="I15" s="10" t="n">
        <x:f>IF(AND(ISNUMBER(G15),ISNUMBER(H15)),IF(AND(G15&gt;=1,G15&lt;=5,H15&gt;=1,H15&lt;=5,G15=INT(G15),H15=INT(H15)),G15*H15,"À compléter"),"À compléter")</x:f>
        <x:v>20</x:v>
      </x:c>
      <x:c r="J15" s="10" t="str">
        <x:f>IF(ISNUMBER(I15),IF(I15&lt;=4,"Faible",IF(I15&lt;=9,"Modéré",IF(I15&lt;=15,"Élevé","Critique"))),"À compléter")</x:f>
        <x:v>Critique</x:v>
      </x:c>
      <x:c r="K15" s="11" t="n">
        <x:v>1</x:v>
      </x:c>
      <x:c r="L15" s="11" t="n">
        <x:v>5</x:v>
      </x:c>
      <x:c r="M15" s="10" t="n">
        <x:f>IF(AND(ISNUMBER(K15),ISNUMBER(L15)),IF(AND(K15&gt;=1,K15&lt;=5,L15&gt;=1,L15&lt;=5,K15=INT(K15),L15=INT(L15)),K15*L15,"À compléter"),"À compléter")</x:f>
        <x:v>5</x:v>
      </x:c>
      <x:c r="N15" s="10" t="str">
        <x:f>IF(ISNUMBER(M15),IF(M15&lt;=4,"Faible",IF(M15&lt;=9,"Modéré",IF(M15&lt;=15,"Élevé","Critique"))),"À compléter")</x:f>
        <x:v>Modéré</x:v>
      </x:c>
      <x:c r="O15" s="10" t="str">
        <x:v>Réduire, M01</x:v>
      </x:c>
    </x:row>
    <x:row r="16" ht="58" customHeight="1">
      <x:c r="A16" s="10" t="str">
        <x:v>R02</x:v>
      </x:c>
      <x:c r="B16" s="10" t="str">
        <x:v>Phishing d'un collaborateur puis accès aux échanges clients A02</x:v>
      </x:c>
      <x:c r="C16" s="10" t="str">
        <x:v>RS</x:v>
      </x:c>
      <x:c r="D16" s="11" t="n">
        <x:v>4</x:v>
      </x:c>
      <x:c r="E16" s="11" t="n">
        <x:v>4</x:v>
      </x:c>
      <x:c r="F16" s="10" t="n">
        <x:f>IF(AND(ISNUMBER(D16),ISNUMBER(E16)),IF(AND(D16&gt;=1,D16&lt;=5,E16&gt;=1,E16&lt;=5,D16=INT(D16),E16=INT(E16)),D16*E16,"À compléter"),"À compléter")</x:f>
        <x:v>16</x:v>
      </x:c>
      <x:c r="G16" s="11" t="n">
        <x:v>3</x:v>
      </x:c>
      <x:c r="H16" s="11" t="n">
        <x:v>4</x:v>
      </x:c>
      <x:c r="I16" s="10" t="n">
        <x:f>IF(AND(ISNUMBER(G16),ISNUMBER(H16)),IF(AND(G16&gt;=1,G16&lt;=5,H16&gt;=1,H16&lt;=5,G16=INT(G16),H16=INT(H16)),G16*H16,"À compléter"),"À compléter")</x:f>
        <x:v>12</x:v>
      </x:c>
      <x:c r="J16" s="10" t="str">
        <x:f>IF(ISNUMBER(I16),IF(I16&lt;=4,"Faible",IF(I16&lt;=9,"Modéré",IF(I16&lt;=15,"Élevé","Critique"))),"À compléter")</x:f>
        <x:v>Élevé</x:v>
      </x:c>
      <x:c r="K16" s="11" t="n">
        <x:v>2</x:v>
      </x:c>
      <x:c r="L16" s="11" t="n">
        <x:v>4</x:v>
      </x:c>
      <x:c r="M16" s="10" t="n">
        <x:f>IF(AND(ISNUMBER(K16),ISNUMBER(L16)),IF(AND(K16&gt;=1,K16&lt;=5,L16&gt;=1,L16&lt;=5,K16=INT(K16),L16=INT(L16)),K16*L16,"À compléter"),"À compléter")</x:f>
        <x:v>8</x:v>
      </x:c>
      <x:c r="N16" s="10" t="str">
        <x:f>IF(ISNUMBER(M16),IF(M16&lt;=4,"Faible",IF(M16&lt;=9,"Modéré",IF(M16&lt;=15,"Élevé","Critique"))),"À compléter")</x:f>
        <x:v>Modéré</x:v>
      </x:c>
      <x:c r="O16" s="10" t="str">
        <x:v>Réduire, M02</x:v>
      </x:c>
    </x:row>
    <x:row r="17" ht="58" customHeight="1">
      <x:c r="A17" s="10" t="str">
        <x:v>R03</x:v>
      </x:c>
      <x:c r="B17" s="10" t="str">
        <x:v>Chiffrement ou perte de l'application A04 avec restauration A06 inutilisable</x:v>
      </x:c>
      <x:c r="C17" s="10" t="str">
        <x:v>RI</x:v>
      </x:c>
      <x:c r="D17" s="11" t="n">
        <x:v>4</x:v>
      </x:c>
      <x:c r="E17" s="11" t="n">
        <x:v>5</x:v>
      </x:c>
      <x:c r="F17" s="10" t="n">
        <x:f>IF(AND(ISNUMBER(D17),ISNUMBER(E17)),IF(AND(D17&gt;=1,D17&lt;=5,E17&gt;=1,E17&lt;=5,D17=INT(D17),E17=INT(E17)),D17*E17,"À compléter"),"À compléter")</x:f>
        <x:v>20</x:v>
      </x:c>
      <x:c r="G17" s="11" t="n">
        <x:v>4</x:v>
      </x:c>
      <x:c r="H17" s="11" t="n">
        <x:v>5</x:v>
      </x:c>
      <x:c r="I17" s="10" t="n">
        <x:f>IF(AND(ISNUMBER(G17),ISNUMBER(H17)),IF(AND(G17&gt;=1,G17&lt;=5,H17&gt;=1,H17&lt;=5,G17=INT(G17),H17=INT(H17)),G17*H17,"À compléter"),"À compléter")</x:f>
        <x:v>20</x:v>
      </x:c>
      <x:c r="J17" s="10" t="str">
        <x:f>IF(ISNUMBER(I17),IF(I17&lt;=4,"Faible",IF(I17&lt;=9,"Modéré",IF(I17&lt;=15,"Élevé","Critique"))),"À compléter")</x:f>
        <x:v>Critique</x:v>
      </x:c>
      <x:c r="K17" s="11" t="n">
        <x:v>2</x:v>
      </x:c>
      <x:c r="L17" s="11" t="n">
        <x:v>4</x:v>
      </x:c>
      <x:c r="M17" s="10" t="n">
        <x:f>IF(AND(ISNUMBER(K17),ISNUMBER(L17)),IF(AND(K17&gt;=1,K17&lt;=5,L17&gt;=1,L17&lt;=5,K17=INT(K17),L17=INT(L17)),K17*L17,"À compléter"),"À compléter")</x:f>
        <x:v>8</x:v>
      </x:c>
      <x:c r="N17" s="10" t="str">
        <x:f>IF(ISNUMBER(M17),IF(M17&lt;=4,"Faible",IF(M17&lt;=9,"Modéré",IF(M17&lt;=15,"Élevé","Critique"))),"À compléter")</x:f>
        <x:v>Modéré</x:v>
      </x:c>
      <x:c r="O17" s="10" t="str">
        <x:v>Réduire, M03</x:v>
      </x:c>
    </x:row>
    <x:row r="18" ht="58" customHeight="1">
      <x:c r="A18" s="10" t="str">
        <x:v>R04</x:v>
      </x:c>
      <x:c r="B18" s="10" t="str">
        <x:v>Incident persistant faute de collecte et de revue suffisantes sur A07</x:v>
      </x:c>
      <x:c r="C18" s="10" t="str">
        <x:v>RI</x:v>
      </x:c>
      <x:c r="D18" s="11" t="n">
        <x:v>4</x:v>
      </x:c>
      <x:c r="E18" s="11" t="n">
        <x:v>4</x:v>
      </x:c>
      <x:c r="F18" s="10" t="n">
        <x:f>IF(AND(ISNUMBER(D18),ISNUMBER(E18)),IF(AND(D18&gt;=1,D18&lt;=5,E18&gt;=1,E18&lt;=5,D18=INT(D18),E18=INT(E18)),D18*E18,"À compléter"),"À compléter")</x:f>
        <x:v>16</x:v>
      </x:c>
      <x:c r="G18" s="11" t="n">
        <x:v>3</x:v>
      </x:c>
      <x:c r="H18" s="11" t="n">
        <x:v>4</x:v>
      </x:c>
      <x:c r="I18" s="10" t="n">
        <x:f>IF(AND(ISNUMBER(G18),ISNUMBER(H18)),IF(AND(G18&gt;=1,G18&lt;=5,H18&gt;=1,H18&lt;=5,G18=INT(G18),H18=INT(H18)),G18*H18,"À compléter"),"À compléter")</x:f>
        <x:v>12</x:v>
      </x:c>
      <x:c r="J18" s="10" t="str">
        <x:f>IF(ISNUMBER(I18),IF(I18&lt;=4,"Faible",IF(I18&lt;=9,"Modéré",IF(I18&lt;=15,"Élevé","Critique"))),"À compléter")</x:f>
        <x:v>Élevé</x:v>
      </x:c>
      <x:c r="K18" s="11" t="n">
        <x:v>2</x:v>
      </x:c>
      <x:c r="L18" s="11" t="n">
        <x:v>4</x:v>
      </x:c>
      <x:c r="M18" s="10" t="n">
        <x:f>IF(AND(ISNUMBER(K18),ISNUMBER(L18)),IF(AND(K18&gt;=1,K18&lt;=5,L18&gt;=1,L18&lt;=5,K18=INT(K18),L18=INT(L18)),K18*L18,"À compléter"),"À compléter")</x:f>
        <x:v>8</x:v>
      </x:c>
      <x:c r="N18" s="10" t="str">
        <x:f>IF(ISNUMBER(M18),IF(M18&lt;=4,"Faible",IF(M18&lt;=9,"Modéré",IF(M18&lt;=15,"Élevé","Critique"))),"À compléter")</x:f>
        <x:v>Modéré</x:v>
      </x:c>
      <x:c r="O18" s="10" t="str">
        <x:v>Réduire, M04</x:v>
      </x:c>
    </x:row>
    <x:row r="19" ht="58" customHeight="1">
      <x:c r="A19" s="10" t="str">
        <x:v>R05</x:v>
      </x:c>
      <x:c r="B19" s="10" t="str">
        <x:v>Exploitation d'une faiblesse applicative non traitée sur A04</x:v>
      </x:c>
      <x:c r="C19" s="10" t="str">
        <x:v>RD</x:v>
      </x:c>
      <x:c r="D19" s="11" t="n">
        <x:v>4</x:v>
      </x:c>
      <x:c r="E19" s="11" t="n">
        <x:v>4</x:v>
      </x:c>
      <x:c r="F19" s="10" t="n">
        <x:f>IF(AND(ISNUMBER(D19),ISNUMBER(E19)),IF(AND(D19&gt;=1,D19&lt;=5,E19&gt;=1,E19&lt;=5,D19=INT(D19),E19=INT(E19)),D19*E19,"À compléter"),"À compléter")</x:f>
        <x:v>16</x:v>
      </x:c>
      <x:c r="G19" s="11" t="n">
        <x:v>3</x:v>
      </x:c>
      <x:c r="H19" s="11" t="n">
        <x:v>4</x:v>
      </x:c>
      <x:c r="I19" s="10" t="n">
        <x:f>IF(AND(ISNUMBER(G19),ISNUMBER(H19)),IF(AND(G19&gt;=1,G19&lt;=5,H19&gt;=1,H19&lt;=5,G19=INT(G19),H19=INT(H19)),G19*H19,"À compléter"),"À compléter")</x:f>
        <x:v>12</x:v>
      </x:c>
      <x:c r="J19" s="10" t="str">
        <x:f>IF(ISNUMBER(I19),IF(I19&lt;=4,"Faible",IF(I19&lt;=9,"Modéré",IF(I19&lt;=15,"Élevé","Critique"))),"À compléter")</x:f>
        <x:v>Élevé</x:v>
      </x:c>
      <x:c r="K19" s="11" t="n">
        <x:v>2</x:v>
      </x:c>
      <x:c r="L19" s="11" t="n">
        <x:v>4</x:v>
      </x:c>
      <x:c r="M19" s="10" t="n">
        <x:f>IF(AND(ISNUMBER(K19),ISNUMBER(L19)),IF(AND(K19&gt;=1,K19&lt;=5,L19&gt;=1,L19&lt;=5,K19=INT(K19),L19=INT(L19)),K19*L19,"À compléter"),"À compléter")</x:f>
        <x:v>8</x:v>
      </x:c>
      <x:c r="N19" s="10" t="str">
        <x:f>IF(ISNUMBER(M19),IF(M19&lt;=4,"Faible",IF(M19&lt;=9,"Modéré",IF(M19&lt;=15,"Élevé","Critique"))),"À compléter")</x:f>
        <x:v>Modéré</x:v>
      </x:c>
      <x:c r="O19" s="10" t="str">
        <x:v>Réduire, M05</x:v>
      </x:c>
    </x:row>
    <x:row r="20" ht="58" customHeight="1">
      <x:c r="A20" s="10" t="str">
        <x:v>R06</x:v>
      </x:c>
      <x:c r="B20" s="10" t="str">
        <x:v>Secret applicatif commité puis réutilisé pour accéder aux services A05/A04</x:v>
      </x:c>
      <x:c r="C20" s="10" t="str">
        <x:v>RD</x:v>
      </x:c>
      <x:c r="D20" s="11" t="n">
        <x:v>4</x:v>
      </x:c>
      <x:c r="E20" s="11" t="n">
        <x:v>4</x:v>
      </x:c>
      <x:c r="F20" s="10" t="n">
        <x:f>IF(AND(ISNUMBER(D20),ISNUMBER(E20)),IF(AND(D20&gt;=1,D20&lt;=5,E20&gt;=1,E20&lt;=5,D20=INT(D20),E20=INT(E20)),D20*E20,"À compléter"),"À compléter")</x:f>
        <x:v>16</x:v>
      </x:c>
      <x:c r="G20" s="11" t="n">
        <x:v>4</x:v>
      </x:c>
      <x:c r="H20" s="11" t="n">
        <x:v>4</x:v>
      </x:c>
      <x:c r="I20" s="10" t="n">
        <x:f>IF(AND(ISNUMBER(G20),ISNUMBER(H20)),IF(AND(G20&gt;=1,G20&lt;=5,H20&gt;=1,H20&lt;=5,G20=INT(G20),H20=INT(H20)),G20*H20,"À compléter"),"À compléter")</x:f>
        <x:v>16</x:v>
      </x:c>
      <x:c r="J20" s="10" t="str">
        <x:f>IF(ISNUMBER(I20),IF(I20&lt;=4,"Faible",IF(I20&lt;=9,"Modéré",IF(I20&lt;=15,"Élevé","Critique"))),"À compléter")</x:f>
        <x:v>Critique</x:v>
      </x:c>
      <x:c r="K20" s="11" t="n">
        <x:v>1</x:v>
      </x:c>
      <x:c r="L20" s="11" t="n">
        <x:v>4</x:v>
      </x:c>
      <x:c r="M20" s="10" t="n">
        <x:f>IF(AND(ISNUMBER(K20),ISNUMBER(L20)),IF(AND(K20&gt;=1,K20&lt;=5,L20&gt;=1,L20&lt;=5,K20=INT(K20),L20=INT(L20)),K20*L20,"À compléter"),"À compléter")</x:f>
        <x:v>4</x:v>
      </x:c>
      <x:c r="N20" s="10" t="str">
        <x:f>IF(ISNUMBER(M20),IF(M20&lt;=4,"Faible",IF(M20&lt;=9,"Modéré",IF(M20&lt;=15,"Élevé","Critique"))),"À compléter")</x:f>
        <x:v>Faible</x:v>
      </x:c>
      <x:c r="O20" s="10" t="str">
        <x:v>Réduire, M06</x:v>
      </x:c>
    </x:row>
    <x:row r="21" ht="58" customHeight="1">
      <x:c r="A21" s="10" t="str">
        <x:v>R07</x:v>
      </x:c>
      <x:c r="B21" s="10" t="str">
        <x:v>Maintien d'un accès après départ et consultation des tickets A01/A04</x:v>
      </x:c>
      <x:c r="C21" s="10" t="str">
        <x:v>RI</x:v>
      </x:c>
      <x:c r="D21" s="11" t="n">
        <x:v>3</x:v>
      </x:c>
      <x:c r="E21" s="11" t="n">
        <x:v>4</x:v>
      </x:c>
      <x:c r="F21" s="10" t="n">
        <x:f>IF(AND(ISNUMBER(D21),ISNUMBER(E21)),IF(AND(D21&gt;=1,D21&lt;=5,E21&gt;=1,E21&lt;=5,D21=INT(D21),E21=INT(E21)),D21*E21,"À compléter"),"À compléter")</x:f>
        <x:v>12</x:v>
      </x:c>
      <x:c r="G21" s="11" t="n">
        <x:v>3</x:v>
      </x:c>
      <x:c r="H21" s="11" t="n">
        <x:v>4</x:v>
      </x:c>
      <x:c r="I21" s="10" t="n">
        <x:f>IF(AND(ISNUMBER(G21),ISNUMBER(H21)),IF(AND(G21&gt;=1,G21&lt;=5,H21&gt;=1,H21&lt;=5,G21=INT(G21),H21=INT(H21)),G21*H21,"À compléter"),"À compléter")</x:f>
        <x:v>12</x:v>
      </x:c>
      <x:c r="J21" s="10" t="str">
        <x:f>IF(ISNUMBER(I21),IF(I21&lt;=4,"Faible",IF(I21&lt;=9,"Modéré",IF(I21&lt;=15,"Élevé","Critique"))),"À compléter")</x:f>
        <x:v>Élevé</x:v>
      </x:c>
      <x:c r="K21" s="11" t="n">
        <x:v>1</x:v>
      </x:c>
      <x:c r="L21" s="11" t="n">
        <x:v>4</x:v>
      </x:c>
      <x:c r="M21" s="10" t="n">
        <x:f>IF(AND(ISNUMBER(K21),ISNUMBER(L21)),IF(AND(K21&gt;=1,K21&lt;=5,L21&gt;=1,L21&lt;=5,K21=INT(K21),L21=INT(L21)),K21*L21,"À compléter"),"À compléter")</x:f>
        <x:v>4</x:v>
      </x:c>
      <x:c r="N21" s="10" t="str">
        <x:f>IF(ISNUMBER(M21),IF(M21&lt;=4,"Faible",IF(M21&lt;=9,"Modéré",IF(M21&lt;=15,"Élevé","Critique"))),"À compléter")</x:f>
        <x:v>Faible</x:v>
      </x:c>
      <x:c r="O21" s="10" t="str">
        <x:v>Réduire, M07</x:v>
      </x:c>
    </x:row>
    <x:row r="22" ht="58" customHeight="1">
      <x:c r="A22" s="10" t="str">
        <x:v>R08</x:v>
      </x:c>
      <x:c r="B22" s="10" t="str">
        <x:v>Futur accès inter-clients non autorisé dans SupportCloud A08</x:v>
      </x:c>
      <x:c r="C22" s="10" t="str">
        <x:v>RS</x:v>
      </x:c>
      <x:c r="D22" s="11" t="n">
        <x:v>4</x:v>
      </x:c>
      <x:c r="E22" s="11" t="n">
        <x:v>4</x:v>
      </x:c>
      <x:c r="F22" s="10" t="n">
        <x:f>IF(AND(ISNUMBER(D22),ISNUMBER(E22)),IF(AND(D22&gt;=1,D22&lt;=5,E22&gt;=1,E22&lt;=5,D22=INT(D22),E22=INT(E22)),D22*E22,"À compléter"),"À compléter")</x:f>
        <x:v>16</x:v>
      </x:c>
      <x:c r="G22" s="11" t="n">
        <x:v>4</x:v>
      </x:c>
      <x:c r="H22" s="11" t="n">
        <x:v>4</x:v>
      </x:c>
      <x:c r="I22" s="10" t="n">
        <x:f>IF(AND(ISNUMBER(G22),ISNUMBER(H22)),IF(AND(G22&gt;=1,G22&lt;=5,H22&gt;=1,H22&lt;=5,G22=INT(G22),H22=INT(H22)),G22*H22,"À compléter"),"À compléter")</x:f>
        <x:v>16</x:v>
      </x:c>
      <x:c r="J22" s="10" t="str">
        <x:f>IF(ISNUMBER(I22),IF(I22&lt;=4,"Faible",IF(I22&lt;=9,"Modéré",IF(I22&lt;=15,"Élevé","Critique"))),"À compléter")</x:f>
        <x:v>Critique</x:v>
      </x:c>
      <x:c r="K22" s="11" t="n">
        <x:v>2</x:v>
      </x:c>
      <x:c r="L22" s="11" t="n">
        <x:v>4</x:v>
      </x:c>
      <x:c r="M22" s="10" t="n">
        <x:f>IF(AND(ISNUMBER(K22),ISNUMBER(L22)),IF(AND(K22&gt;=1,K22&lt;=5,L22&gt;=1,L22&lt;=5,K22=INT(K22),L22=INT(L22)),K22*L22,"À compléter"),"À compléter")</x:f>
        <x:v>8</x:v>
      </x:c>
      <x:c r="N22" s="10" t="str">
        <x:f>IF(ISNUMBER(M22),IF(M22&lt;=4,"Faible",IF(M22&lt;=9,"Modéré",IF(M22&lt;=15,"Élevé","Critique"))),"À compléter")</x:f>
        <x:v>Modéré</x:v>
      </x:c>
      <x:c r="O22" s="10" t="str">
        <x:v>Éviter l'exposition en production puis réduire, M08</x:v>
      </x:c>
    </x:row>
    <x:row r="23" ht="58" customHeight="1">
      <x:c r="A23" s="10" t="str">
        <x:v>R09</x:v>
      </x:c>
      <x:c r="B23" s="10" t="str">
        <x:v>Export A10 conservé sans justification et partagé trop largement</x:v>
      </x:c>
      <x:c r="C23" s="10" t="str">
        <x:v>RS</x:v>
      </x:c>
      <x:c r="D23" s="11" t="n">
        <x:v>3</x:v>
      </x:c>
      <x:c r="E23" s="11" t="n">
        <x:v>3</x:v>
      </x:c>
      <x:c r="F23" s="10" t="n">
        <x:f>IF(AND(ISNUMBER(D23),ISNUMBER(E23)),IF(AND(D23&gt;=1,D23&lt;=5,E23&gt;=1,E23&lt;=5,D23=INT(D23),E23=INT(E23)),D23*E23,"À compléter"),"À compléter")</x:f>
        <x:v>9</x:v>
      </x:c>
      <x:c r="G23" s="11" t="n">
        <x:v>3</x:v>
      </x:c>
      <x:c r="H23" s="11" t="n">
        <x:v>3</x:v>
      </x:c>
      <x:c r="I23" s="10" t="n">
        <x:f>IF(AND(ISNUMBER(G23),ISNUMBER(H23)),IF(AND(G23&gt;=1,G23&lt;=5,H23&gt;=1,H23&lt;=5,G23=INT(G23),H23=INT(H23)),G23*H23,"À compléter"),"À compléter")</x:f>
        <x:v>9</x:v>
      </x:c>
      <x:c r="J23" s="10" t="str">
        <x:f>IF(ISNUMBER(I23),IF(I23&lt;=4,"Faible",IF(I23&lt;=9,"Modéré",IF(I23&lt;=15,"Élevé","Critique"))),"À compléter")</x:f>
        <x:v>Modéré</x:v>
      </x:c>
      <x:c r="K23" s="11" t="n">
        <x:v>2</x:v>
      </x:c>
      <x:c r="L23" s="11" t="n">
        <x:v>3</x:v>
      </x:c>
      <x:c r="M23" s="10" t="n">
        <x:f>IF(AND(ISNUMBER(K23),ISNUMBER(L23)),IF(AND(K23&gt;=1,K23&lt;=5,L23&gt;=1,L23&lt;=5,K23=INT(K23),L23=INT(L23)),K23*L23,"À compléter"),"À compléter")</x:f>
        <x:v>6</x:v>
      </x:c>
      <x:c r="N23" s="10" t="str">
        <x:f>IF(ISNUMBER(M23),IF(M23&lt;=4,"Faible",IF(M23&lt;=9,"Modéré",IF(M23&lt;=15,"Élevé","Critique"))),"À compléter")</x:f>
        <x:v>Modéré</x:v>
      </x:c>
      <x:c r="O23" s="10" t="str">
        <x:v>Réduire, M09</x:v>
      </x:c>
    </x:row>
    <x:row r="24" ht="58" customHeight="1">
      <x:c r="A24" s="10" t="str">
        <x:v>R10</x:v>
      </x:c>
      <x:c r="B24" s="10" t="str">
        <x:v>Absence d'un administrateur et documentation A09 insuffisante pour reprendre le service</x:v>
      </x:c>
      <x:c r="C24" s="10" t="str">
        <x:v>RI</x:v>
      </x:c>
      <x:c r="D24" s="11" t="n">
        <x:v>3</x:v>
      </x:c>
      <x:c r="E24" s="11" t="n">
        <x:v>3</x:v>
      </x:c>
      <x:c r="F24" s="10" t="n">
        <x:f>IF(AND(ISNUMBER(D24),ISNUMBER(E24)),IF(AND(D24&gt;=1,D24&lt;=5,E24&gt;=1,E24&lt;=5,D24=INT(D24),E24=INT(E24)),D24*E24,"À compléter"),"À compléter")</x:f>
        <x:v>9</x:v>
      </x:c>
      <x:c r="G24" s="11" t="n">
        <x:v>3</x:v>
      </x:c>
      <x:c r="H24" s="11" t="n">
        <x:v>3</x:v>
      </x:c>
      <x:c r="I24" s="10" t="n">
        <x:f>IF(AND(ISNUMBER(G24),ISNUMBER(H24)),IF(AND(G24&gt;=1,G24&lt;=5,H24&gt;=1,H24&lt;=5,G24=INT(G24),H24=INT(H24)),G24*H24,"À compléter"),"À compléter")</x:f>
        <x:v>9</x:v>
      </x:c>
      <x:c r="J24" s="10" t="str">
        <x:f>IF(ISNUMBER(I24),IF(I24&lt;=4,"Faible",IF(I24&lt;=9,"Modéré",IF(I24&lt;=15,"Élevé","Critique"))),"À compléter")</x:f>
        <x:v>Modéré</x:v>
      </x:c>
      <x:c r="K24" s="11" t="n">
        <x:v>2</x:v>
      </x:c>
      <x:c r="L24" s="11" t="n">
        <x:v>3</x:v>
      </x:c>
      <x:c r="M24" s="10" t="n">
        <x:f>IF(AND(ISNUMBER(K24),ISNUMBER(L24)),IF(AND(K24&gt;=1,K24&lt;=5,L24&gt;=1,L24&lt;=5,K24=INT(K24),L24=INT(L24)),K24*L24,"À compléter"),"À compléter")</x:f>
        <x:v>6</x:v>
      </x:c>
      <x:c r="N24" s="10" t="str">
        <x:f>IF(ISNUMBER(M24),IF(M24&lt;=4,"Faible",IF(M24&lt;=9,"Modéré",IF(M24&lt;=15,"Élevé","Critique"))),"À compléter")</x:f>
        <x:v>Modéré</x:v>
      </x:c>
      <x:c r="O24" s="10" t="str">
        <x:v>Réduire, M10</x:v>
      </x:c>
    </x:row>
    <x:row r="25" ht="58" customHeight="1">
      <x:c r="A25" s="10" t="str">
        <x:v>R11</x:v>
      </x:c>
      <x:c r="B25" s="10" t="str">
        <x:v>Perte d'un portable A03 non chiffré exposant des informations clients</x:v>
      </x:c>
      <x:c r="C25" s="10" t="str">
        <x:v>RI</x:v>
      </x:c>
      <x:c r="D25" s="11" t="n">
        <x:v>4</x:v>
      </x:c>
      <x:c r="E25" s="11" t="n">
        <x:v>4</x:v>
      </x:c>
      <x:c r="F25" s="10" t="n">
        <x:f>IF(AND(ISNUMBER(D25),ISNUMBER(E25)),IF(AND(D25&gt;=1,D25&lt;=5,E25&gt;=1,E25&lt;=5,D25=INT(D25),E25=INT(E25)),D25*E25,"À compléter"),"À compléter")</x:f>
        <x:v>16</x:v>
      </x:c>
      <x:c r="G25" s="11" t="n">
        <x:v>4</x:v>
      </x:c>
      <x:c r="H25" s="11" t="n">
        <x:v>4</x:v>
      </x:c>
      <x:c r="I25" s="10" t="n">
        <x:f>IF(AND(ISNUMBER(G25),ISNUMBER(H25)),IF(AND(G25&gt;=1,G25&lt;=5,H25&gt;=1,H25&lt;=5,G25=INT(G25),H25=INT(H25)),G25*H25,"À compléter"),"À compléter")</x:f>
        <x:v>16</x:v>
      </x:c>
      <x:c r="J25" s="10" t="str">
        <x:f>IF(ISNUMBER(I25),IF(I25&lt;=4,"Faible",IF(I25&lt;=9,"Modéré",IF(I25&lt;=15,"Élevé","Critique"))),"À compléter")</x:f>
        <x:v>Critique</x:v>
      </x:c>
      <x:c r="K25" s="11" t="n">
        <x:v>1</x:v>
      </x:c>
      <x:c r="L25" s="11" t="n">
        <x:v>4</x:v>
      </x:c>
      <x:c r="M25" s="10" t="n">
        <x:f>IF(AND(ISNUMBER(K25),ISNUMBER(L25)),IF(AND(K25&gt;=1,K25&lt;=5,L25&gt;=1,L25&lt;=5,K25=INT(K25),L25=INT(L25)),K25*L25,"À compléter"),"À compléter")</x:f>
        <x:v>4</x:v>
      </x:c>
      <x:c r="N25" s="10" t="str">
        <x:f>IF(ISNUMBER(M25),IF(M25&lt;=4,"Faible",IF(M25&lt;=9,"Modéré",IF(M25&lt;=15,"Élevé","Critique"))),"À compléter")</x:f>
        <x:v>Faible</x:v>
      </x:c>
      <x:c r="O25" s="10" t="str">
        <x:v>Réduire, M11</x:v>
      </x:c>
    </x:row>
    <x:row r="26" ht="58" customHeight="1">
      <x:c r="A26" s="10" t="str">
        <x:v>R12</x:v>
      </x:c>
      <x:c r="B26" s="10" t="str">
        <x:v>Modification non validée d'A04 altérant les tickets sans retour arrière préparé</x:v>
      </x:c>
      <x:c r="C26" s="10" t="str">
        <x:v>RD</x:v>
      </x:c>
      <x:c r="D26" s="11" t="n">
        <x:v>3</x:v>
      </x:c>
      <x:c r="E26" s="11" t="n">
        <x:v>4</x:v>
      </x:c>
      <x:c r="F26" s="10" t="n">
        <x:f>IF(AND(ISNUMBER(D26),ISNUMBER(E26)),IF(AND(D26&gt;=1,D26&lt;=5,E26&gt;=1,E26&lt;=5,D26=INT(D26),E26=INT(E26)),D26*E26,"À compléter"),"À compléter")</x:f>
        <x:v>12</x:v>
      </x:c>
      <x:c r="G26" s="11" t="n">
        <x:v>3</x:v>
      </x:c>
      <x:c r="H26" s="11" t="n">
        <x:v>4</x:v>
      </x:c>
      <x:c r="I26" s="10" t="n">
        <x:f>IF(AND(ISNUMBER(G26),ISNUMBER(H26)),IF(AND(G26&gt;=1,G26&lt;=5,H26&gt;=1,H26&lt;=5,G26=INT(G26),H26=INT(H26)),G26*H26,"À compléter"),"À compléter")</x:f>
        <x:v>12</x:v>
      </x:c>
      <x:c r="J26" s="10" t="str">
        <x:f>IF(ISNUMBER(I26),IF(I26&lt;=4,"Faible",IF(I26&lt;=9,"Modéré",IF(I26&lt;=15,"Élevé","Critique"))),"À compléter")</x:f>
        <x:v>Élevé</x:v>
      </x:c>
      <x:c r="K26" s="11" t="n">
        <x:v>2</x:v>
      </x:c>
      <x:c r="L26" s="11" t="n">
        <x:v>4</x:v>
      </x:c>
      <x:c r="M26" s="10" t="n">
        <x:f>IF(AND(ISNUMBER(K26),ISNUMBER(L26)),IF(AND(K26&gt;=1,K26&lt;=5,L26&gt;=1,L26&lt;=5,K26=INT(K26),L26=INT(L26)),K26*L26,"À compléter"),"À compléter")</x:f>
        <x:v>8</x:v>
      </x:c>
      <x:c r="N26" s="10" t="str">
        <x:f>IF(ISNUMBER(M26),IF(M26&lt;=4,"Faible",IF(M26&lt;=9,"Modéré",IF(M26&lt;=15,"Élevé","Critique"))),"À compléter")</x:f>
        <x:v>Modéré</x:v>
      </x:c>
      <x:c r="O26" s="10" t="str">
        <x:v>Réduire, M12</x:v>
      </x:c>
    </x:row>
  </x:sheetData>
  <x:conditionalFormatting sqref="J15:J26">
    <x:cfRule type="containsText" dxfId="0" priority="1" operator="containsText" text="Critique"/>
    <x:cfRule type="containsText" dxfId="1" priority="2" operator="containsText" text="Élevé"/>
    <x:cfRule type="containsText" dxfId="2" priority="3" operator="containsText" text="À compléter"/>
  </x:conditionalFormatting>
  <x:conditionalFormatting sqref="N15:N26">
    <x:cfRule type="containsText" dxfId="3" priority="4" operator="containsText" text="Critique"/>
    <x:cfRule type="containsText" dxfId="4" priority="5" operator="containsText" text="Élevé"/>
    <x:cfRule type="containsText" dxfId="5" priority="6" operator="containsText" text="À compléter"/>
  </x:conditionalFormatting>
  <x:conditionalFormatting sqref="B10:C10">
    <x:cfRule type="cellIs" dxfId="12" priority="7" operator="greaterThan">
      <x:formula>0</x:formula>
    </x:cfRule>
  </x:conditionalFormatting>
  <x:dataValidations count="3">
    <x:dataValidation type="whole" errorStyle="stop" operator="between" showErrorMessage="1" errorTitle="Cotation non valide" error="Saisir un entier de 1 à 5. Une valeur manquante doit rester à compléter." sqref="D15:E26">
      <x:formula1>1</x:formula1>
      <x:formula2>5</x:formula2>
    </x:dataValidation>
    <x:dataValidation type="whole" errorStyle="stop" operator="between" showErrorMessage="1" errorTitle="Cotation non valide" error="Saisir un entier de 1 à 5. Une valeur manquante doit rester à compléter." sqref="G15:H26">
      <x:formula1>1</x:formula1>
      <x:formula2>5</x:formula2>
    </x:dataValidation>
    <x:dataValidation type="whole" errorStyle="stop" operator="between" showErrorMessage="1" errorTitle="Cotation non valide" error="Saisir un entier de 1 à 5. Une valeur manquante doit rester à compléter." sqref="K15:L2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25db032583149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7.5" hidden="0" customWidth="1"/>
    <x:col min="2" max="2" width="46.25" hidden="0" customWidth="1"/>
    <x:col min="3" max="3" width="11.25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9.380000114440918" hidden="0" customWidth="1"/>
    <x:col min="10" max="10" width="13.130000114440918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  <x:col min="14" max="14" width="13.75" hidden="0" customWidth="1"/>
    <x:col min="15" max="15" width="29.37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Risques fournisseur SupportCloud Standard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Cas fictif au 07/10/2026. Cibles conditionnelles. Les tests personnels ne clôturent aucune action.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 t="str">
        <x:v>Niveau</x:v>
      </x:c>
      <x:c r="B5" s="1" t="str">
        <x:v>Actuel estimé</x:v>
      </x:c>
      <x:c r="C5" s="1" t="str">
        <x:v>Cible conditionnelle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 t="str">
        <x:v>Faible</x:v>
      </x:c>
      <x:c r="B6" s="1" t="n">
        <x:f>COUNTIFS(J15:J22,A6)</x:f>
        <x:v>0</x:v>
      </x:c>
      <x:c r="C6" s="1" t="n">
        <x:f>COUNTIFS(N15:N22,A6)</x:f>
        <x:v>2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" t="str">
        <x:v>Modéré</x:v>
      </x:c>
      <x:c r="B7" s="1" t="n">
        <x:f>COUNTIFS(J15:J22,A7)</x:f>
        <x:v>0</x:v>
      </x:c>
      <x:c r="C7" s="1" t="n">
        <x:f>COUNTIFS(N15:N22,A7)</x:f>
        <x:v>6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 t="str">
        <x:v>Élevé</x:v>
      </x:c>
      <x:c r="B8" s="1" t="n">
        <x:f>COUNTIFS(J15:J22,A8)</x:f>
        <x:v>7</x:v>
      </x:c>
      <x:c r="C8" s="1" t="n">
        <x:f>COUNTIFS(N15:N22,A8)</x:f>
        <x:v>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 t="str">
        <x:v>Critique</x:v>
      </x:c>
      <x:c r="B9" s="1" t="n">
        <x:f>COUNTIFS(J15:J22,A9)</x:f>
        <x:v>1</x:v>
      </x:c>
      <x:c r="C9" s="1" t="n">
        <x:f>COUNTIFS(N15:N22,A9)</x:f>
        <x:v>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 t="str">
        <x:v>Non coté</x:v>
      </x:c>
      <x:c r="B10" s="1" t="n">
        <x:f>COUNTIFS(J15:J22,"À compléter")</x:f>
        <x:v>0</x:v>
      </x:c>
      <x:c r="C10" s="1" t="n">
        <x:f>COUNTIFS(N15:N22,"À compléter")</x:f>
        <x:v>0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1" t="str">
        <x:v>Échelle locale : 1 à 4 faible ; 5 à 9 modéré ; 10 à 15 élevé ; 16 à 25 critique. V et I : entiers de 1 à 5.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 t="str">
        <x:v>Source : Projet_2_TPRM/04_constats_registre_risques.md ; V/I initiaux issus du registre Markdown. Justifier tout changement dans le dossier.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36" customHeight="1">
      <x:c r="A14" s="8" t="str">
        <x:v>ID</x:v>
      </x:c>
      <x:c r="B14" s="8" t="str">
        <x:v>Scénario</x:v>
      </x:c>
      <x:c r="C14" s="8" t="str">
        <x:v>Propriétaire</x:v>
      </x:c>
      <x:c r="D14" s="8" t="str">
        <x:v>V inh.</x:v>
      </x:c>
      <x:c r="E14" s="8" t="str">
        <x:v>I inh.</x:v>
      </x:c>
      <x:c r="F14" s="8" t="str">
        <x:v>Score inh.</x:v>
      </x:c>
      <x:c r="G14" s="8" t="str">
        <x:v>V actuel</x:v>
      </x:c>
      <x:c r="H14" s="8" t="str">
        <x:v>I actuel</x:v>
      </x:c>
      <x:c r="I14" s="8" t="str">
        <x:v>Score actuel</x:v>
      </x:c>
      <x:c r="J14" s="8" t="str">
        <x:v>Niveau actuel</x:v>
      </x:c>
      <x:c r="K14" s="8" t="str">
        <x:v>V cible</x:v>
      </x:c>
      <x:c r="L14" s="8" t="str">
        <x:v>I cible</x:v>
      </x:c>
      <x:c r="M14" s="8" t="str">
        <x:v>Score cible</x:v>
      </x:c>
      <x:c r="N14" s="8" t="str">
        <x:v>Niveau cible</x:v>
      </x:c>
      <x:c r="O14" s="8" t="str">
        <x:v>Traitement</x:v>
      </x:c>
    </x:row>
    <x:row r="15" ht="58" customHeight="1">
      <x:c r="A15" s="10" t="str">
        <x:v>S01</x:v>
      </x:c>
      <x:c r="B15" s="10" t="str">
        <x:v>Compromission d'un administrateur du tenant sans MFA imposé ; consultation ou modification de tickets et données A08</x:v>
      </x:c>
      <x:c r="C15" s="10" t="str">
        <x:v>RS</x:v>
      </x:c>
      <x:c r="D15" s="11" t="n">
        <x:v>4</x:v>
      </x:c>
      <x:c r="E15" s="11" t="n">
        <x:v>4</x:v>
      </x:c>
      <x:c r="F15" s="10" t="n">
        <x:f>IF(AND(ISNUMBER(D15),ISNUMBER(E15)),IF(AND(D15&gt;=1,D15&lt;=5,E15&gt;=1,E15&lt;=5,D15=INT(D15),E15=INT(E15)),D15*E15,"À compléter"),"À compléter")</x:f>
        <x:v>16</x:v>
      </x:c>
      <x:c r="G15" s="11" t="n">
        <x:v>3</x:v>
      </x:c>
      <x:c r="H15" s="11" t="n">
        <x:v>4</x:v>
      </x:c>
      <x:c r="I15" s="10" t="n">
        <x:f>IF(AND(ISNUMBER(G15),ISNUMBER(H15)),IF(AND(G15&gt;=1,G15&lt;=5,H15&gt;=1,H15&lt;=5,G15=INT(G15),H15=INT(H15)),G15*H15,"À compléter"),"À compléter")</x:f>
        <x:v>12</x:v>
      </x:c>
      <x:c r="J15" s="10" t="str">
        <x:f>IF(ISNUMBER(I15),IF(I15&lt;=4,"Faible",IF(I15&lt;=9,"Modéré",IF(I15&lt;=15,"Élevé","Critique"))),"À compléter")</x:f>
        <x:v>Élevé</x:v>
      </x:c>
      <x:c r="K15" s="11" t="n">
        <x:v>1</x:v>
      </x:c>
      <x:c r="L15" s="11" t="n">
        <x:v>4</x:v>
      </x:c>
      <x:c r="M15" s="10" t="n">
        <x:f>IF(AND(ISNUMBER(K15),ISNUMBER(L15)),IF(AND(K15&gt;=1,K15&lt;=5,L15&gt;=1,L15&lt;=5,K15=INT(K15),L15=INT(L15)),K15*L15,"À compléter"),"À compléter")</x:f>
        <x:v>4</x:v>
      </x:c>
      <x:c r="N15" s="10" t="str">
        <x:f>IF(ISNUMBER(M15),IF(M15&lt;=4,"Faible",IF(M15&lt;=9,"Modéré",IF(M15&lt;=15,"Élevé","Critique"))),"À compléter")</x:f>
        <x:v>Faible</x:v>
      </x:c>
      <x:c r="O15" s="10" t="str">
        <x:v>V03, F01, VM01</x:v>
      </x:c>
    </x:row>
    <x:row r="16" ht="58" customHeight="1">
      <x:c r="A16" s="10" t="str">
        <x:v>S02</x:v>
      </x:c>
      <x:c r="B16" s="10" t="str">
        <x:v>Compromission ou usage abusif du compte support partagé ; accès aux données A08 et attribution des actions difficile</x:v>
      </x:c>
      <x:c r="C16" s="10" t="str">
        <x:v>RS</x:v>
      </x:c>
      <x:c r="D16" s="11" t="n">
        <x:v>4</x:v>
      </x:c>
      <x:c r="E16" s="11" t="n">
        <x:v>4</x:v>
      </x:c>
      <x:c r="F16" s="10" t="n">
        <x:f>IF(AND(ISNUMBER(D16),ISNUMBER(E16)),IF(AND(D16&gt;=1,D16&lt;=5,E16&gt;=1,E16&lt;=5,D16=INT(D16),E16=INT(E16)),D16*E16,"À compléter"),"À compléter")</x:f>
        <x:v>16</x:v>
      </x:c>
      <x:c r="G16" s="11" t="n">
        <x:v>3</x:v>
      </x:c>
      <x:c r="H16" s="11" t="n">
        <x:v>4</x:v>
      </x:c>
      <x:c r="I16" s="10" t="n">
        <x:f>IF(AND(ISNUMBER(G16),ISNUMBER(H16)),IF(AND(G16&gt;=1,G16&lt;=5,H16&gt;=1,H16&lt;=5,G16=INT(G16),H16=INT(H16)),G16*H16,"À compléter"),"À compléter")</x:f>
        <x:v>12</x:v>
      </x:c>
      <x:c r="J16" s="10" t="str">
        <x:f>IF(ISNUMBER(I16),IF(I16&lt;=4,"Faible",IF(I16&lt;=9,"Modéré",IF(I16&lt;=15,"Élevé","Critique"))),"À compléter")</x:f>
        <x:v>Élevé</x:v>
      </x:c>
      <x:c r="K16" s="11" t="n">
        <x:v>1</x:v>
      </x:c>
      <x:c r="L16" s="11" t="n">
        <x:v>4</x:v>
      </x:c>
      <x:c r="M16" s="10" t="n">
        <x:f>IF(AND(ISNUMBER(K16),ISNUMBER(L16)),IF(AND(K16&gt;=1,K16&lt;=5,L16&gt;=1,L16&lt;=5,K16=INT(K16),L16=INT(L16)),K16*L16,"À compléter"),"À compléter")</x:f>
        <x:v>4</x:v>
      </x:c>
      <x:c r="N16" s="10" t="str">
        <x:f>IF(ISNUMBER(M16),IF(M16&lt;=4,"Faible",IF(M16&lt;=9,"Modéré",IF(M16&lt;=15,"Élevé","Critique"))),"À compléter")</x:f>
        <x:v>Faible</x:v>
      </x:c>
      <x:c r="O16" s="10" t="str">
        <x:v>V03, F02, VM02</x:v>
      </x:c>
    </x:row>
    <x:row r="17" ht="58" customHeight="1">
      <x:c r="A17" s="10" t="str">
        <x:v>S03</x:v>
      </x:c>
      <x:c r="B17" s="10" t="str">
        <x:v>Incident détecté tardivement et traces utiles expirées ou incomplètes ; investigation et confinement du tenant A08 retardés</x:v>
      </x:c>
      <x:c r="C17" s="10" t="str">
        <x:v>RS</x:v>
      </x:c>
      <x:c r="D17" s="11" t="n">
        <x:v>3</x:v>
      </x:c>
      <x:c r="E17" s="11" t="n">
        <x:v>4</x:v>
      </x:c>
      <x:c r="F17" s="10" t="n">
        <x:f>IF(AND(ISNUMBER(D17),ISNUMBER(E17)),IF(AND(D17&gt;=1,D17&lt;=5,E17&gt;=1,E17&lt;=5,D17=INT(D17),E17=INT(E17)),D17*E17,"À compléter"),"À compléter")</x:f>
        <x:v>12</x:v>
      </x:c>
      <x:c r="G17" s="11" t="n">
        <x:v>3</x:v>
      </x:c>
      <x:c r="H17" s="11" t="n">
        <x:v>4</x:v>
      </x:c>
      <x:c r="I17" s="10" t="n">
        <x:f>IF(AND(ISNUMBER(G17),ISNUMBER(H17)),IF(AND(G17&gt;=1,G17&lt;=5,H17&gt;=1,H17&lt;=5,G17=INT(G17),H17=INT(H17)),G17*H17,"À compléter"),"À compléter")</x:f>
        <x:v>12</x:v>
      </x:c>
      <x:c r="J17" s="10" t="str">
        <x:f>IF(ISNUMBER(I17),IF(I17&lt;=4,"Faible",IF(I17&lt;=9,"Modéré",IF(I17&lt;=15,"Élevé","Critique"))),"À compléter")</x:f>
        <x:v>Élevé</x:v>
      </x:c>
      <x:c r="K17" s="11" t="n">
        <x:v>2</x:v>
      </x:c>
      <x:c r="L17" s="11" t="n">
        <x:v>4</x:v>
      </x:c>
      <x:c r="M17" s="10" t="n">
        <x:f>IF(AND(ISNUMBER(K17),ISNUMBER(L17)),IF(AND(K17&gt;=1,K17&lt;=5,L17&gt;=1,L17&lt;=5,K17=INT(K17),L17=INT(L17)),K17*L17,"À compléter"),"À compléter")</x:f>
        <x:v>8</x:v>
      </x:c>
      <x:c r="N17" s="10" t="str">
        <x:f>IF(ISNUMBER(M17),IF(M17&lt;=4,"Faible",IF(M17&lt;=9,"Modéré",IF(M17&lt;=15,"Élevé","Critique"))),"À compléter")</x:f>
        <x:v>Modéré</x:v>
      </x:c>
      <x:c r="O17" s="10" t="str">
        <x:v>V04, F03, VM03</x:v>
      </x:c>
    </x:row>
    <x:row r="18" ht="58" customHeight="1">
      <x:c r="A18" s="10" t="str">
        <x:v>S04</x:v>
      </x:c>
      <x:c r="B18" s="10" t="str">
        <x:v>Incident destructif ou altération du service suivis d'une reprise incomplète ; tickets A08 indisponibles ou données non récupérées</x:v>
      </x:c>
      <x:c r="C18" s="10" t="str">
        <x:v>RS</x:v>
      </x:c>
      <x:c r="D18" s="11" t="n">
        <x:v>3</x:v>
      </x:c>
      <x:c r="E18" s="11" t="n">
        <x:v>4</x:v>
      </x:c>
      <x:c r="F18" s="10" t="n">
        <x:f>IF(AND(ISNUMBER(D18),ISNUMBER(E18)),IF(AND(D18&gt;=1,D18&lt;=5,E18&gt;=1,E18&lt;=5,D18=INT(D18),E18=INT(E18)),D18*E18,"À compléter"),"À compléter")</x:f>
        <x:v>12</x:v>
      </x:c>
      <x:c r="G18" s="11" t="n">
        <x:v>3</x:v>
      </x:c>
      <x:c r="H18" s="11" t="n">
        <x:v>4</x:v>
      </x:c>
      <x:c r="I18" s="10" t="n">
        <x:f>IF(AND(ISNUMBER(G18),ISNUMBER(H18)),IF(AND(G18&gt;=1,G18&lt;=5,H18&gt;=1,H18&lt;=5,G18=INT(G18),H18=INT(H18)),G18*H18,"À compléter"),"À compléter")</x:f>
        <x:v>12</x:v>
      </x:c>
      <x:c r="J18" s="10" t="str">
        <x:f>IF(ISNUMBER(I18),IF(I18&lt;=4,"Faible",IF(I18&lt;=9,"Modéré",IF(I18&lt;=15,"Élevé","Critique"))),"À compléter")</x:f>
        <x:v>Élevé</x:v>
      </x:c>
      <x:c r="K18" s="11" t="n">
        <x:v>2</x:v>
      </x:c>
      <x:c r="L18" s="11" t="n">
        <x:v>4</x:v>
      </x:c>
      <x:c r="M18" s="10" t="n">
        <x:f>IF(AND(ISNUMBER(K18),ISNUMBER(L18)),IF(AND(K18&gt;=1,K18&lt;=5,L18&gt;=1,L18&lt;=5,K18=INT(K18),L18=INT(L18)),K18*L18,"À compléter"),"À compléter")</x:f>
        <x:v>8</x:v>
      </x:c>
      <x:c r="N18" s="10" t="str">
        <x:f>IF(ISNUMBER(M18),IF(M18&lt;=4,"Faible",IF(M18&lt;=9,"Modéré",IF(M18&lt;=15,"Élevé","Critique"))),"À compléter")</x:f>
        <x:v>Modéré</x:v>
      </x:c>
      <x:c r="O18" s="10" t="str">
        <x:v>V05/V08, F04, VM04</x:v>
      </x:c>
    </x:row>
    <x:row r="19" ht="58" customHeight="1">
      <x:c r="A19" s="10" t="str">
        <x:v>S05</x:v>
      </x:c>
      <x:c r="B19" s="10" t="str">
        <x:v>Accès aux tickets A08 par un tiers insuffisamment identifié ou encadré ; divulgation non autorisée et difficulté de maîtrise du traitement</x:v>
      </x:c>
      <x:c r="C19" s="10" t="str">
        <x:v>RS</x:v>
      </x:c>
      <x:c r="D19" s="11" t="n">
        <x:v>3</x:v>
      </x:c>
      <x:c r="E19" s="11" t="n">
        <x:v>4</x:v>
      </x:c>
      <x:c r="F19" s="10" t="n">
        <x:f>IF(AND(ISNUMBER(D19),ISNUMBER(E19)),IF(AND(D19&gt;=1,D19&lt;=5,E19&gt;=1,E19&lt;=5,D19=INT(D19),E19=INT(E19)),D19*E19,"À compléter"),"À compléter")</x:f>
        <x:v>12</x:v>
      </x:c>
      <x:c r="G19" s="11" t="n">
        <x:v>3</x:v>
      </x:c>
      <x:c r="H19" s="11" t="n">
        <x:v>4</x:v>
      </x:c>
      <x:c r="I19" s="10" t="n">
        <x:f>IF(AND(ISNUMBER(G19),ISNUMBER(H19)),IF(AND(G19&gt;=1,G19&lt;=5,H19&gt;=1,H19&lt;=5,G19=INT(G19),H19=INT(H19)),G19*H19,"À compléter"),"À compléter")</x:f>
        <x:v>12</x:v>
      </x:c>
      <x:c r="J19" s="10" t="str">
        <x:f>IF(ISNUMBER(I19),IF(I19&lt;=4,"Faible",IF(I19&lt;=9,"Modéré",IF(I19&lt;=15,"Élevé","Critique"))),"À compléter")</x:f>
        <x:v>Élevé</x:v>
      </x:c>
      <x:c r="K19" s="11" t="n">
        <x:v>2</x:v>
      </x:c>
      <x:c r="L19" s="11" t="n">
        <x:v>4</x:v>
      </x:c>
      <x:c r="M19" s="10" t="n">
        <x:f>IF(AND(ISNUMBER(K19),ISNUMBER(L19)),IF(AND(K19&gt;=1,K19&lt;=5,L19&gt;=1,L19&lt;=5,K19=INT(K19),L19=INT(L19)),K19*L19,"À compléter"),"À compléter")</x:f>
        <x:v>8</x:v>
      </x:c>
      <x:c r="N19" s="10" t="str">
        <x:f>IF(ISNUMBER(M19),IF(M19&lt;=4,"Faible",IF(M19&lt;=9,"Modéré",IF(M19&lt;=15,"Élevé","Critique"))),"À compléter")</x:f>
        <x:v>Modéré</x:v>
      </x:c>
      <x:c r="O19" s="10" t="str">
        <x:v>V01/V07, F05, VM05</x:v>
      </x:c>
    </x:row>
    <x:row r="20" ht="58" customHeight="1">
      <x:c r="A20" s="10" t="str">
        <x:v>S06</x:v>
      </x:c>
      <x:c r="B20" s="10" t="str">
        <x:v>Perte ou persistance non maîtrisée de données A08 lors d'une sortie ; export incomplet, accès trop court ou copies encore accessibles</x:v>
      </x:c>
      <x:c r="C20" s="10" t="str">
        <x:v>RS</x:v>
      </x:c>
      <x:c r="D20" s="11" t="n">
        <x:v>3</x:v>
      </x:c>
      <x:c r="E20" s="11" t="n">
        <x:v>4</x:v>
      </x:c>
      <x:c r="F20" s="10" t="n">
        <x:f>IF(AND(ISNUMBER(D20),ISNUMBER(E20)),IF(AND(D20&gt;=1,D20&lt;=5,E20&gt;=1,E20&lt;=5,D20=INT(D20),E20=INT(E20)),D20*E20,"À compléter"),"À compléter")</x:f>
        <x:v>12</x:v>
      </x:c>
      <x:c r="G20" s="11" t="n">
        <x:v>3</x:v>
      </x:c>
      <x:c r="H20" s="11" t="n">
        <x:v>4</x:v>
      </x:c>
      <x:c r="I20" s="10" t="n">
        <x:f>IF(AND(ISNUMBER(G20),ISNUMBER(H20)),IF(AND(G20&gt;=1,G20&lt;=5,H20&gt;=1,H20&lt;=5,G20=INT(G20),H20=INT(H20)),G20*H20,"À compléter"),"À compléter")</x:f>
        <x:v>12</x:v>
      </x:c>
      <x:c r="J20" s="10" t="str">
        <x:f>IF(ISNUMBER(I20),IF(I20&lt;=4,"Faible",IF(I20&lt;=9,"Modéré",IF(I20&lt;=15,"Élevé","Critique"))),"À compléter")</x:f>
        <x:v>Élevé</x:v>
      </x:c>
      <x:c r="K20" s="11" t="n">
        <x:v>2</x:v>
      </x:c>
      <x:c r="L20" s="11" t="n">
        <x:v>4</x:v>
      </x:c>
      <x:c r="M20" s="10" t="n">
        <x:f>IF(AND(ISNUMBER(K20),ISNUMBER(L20)),IF(AND(K20&gt;=1,K20&lt;=5,L20&gt;=1,L20&lt;=5,K20=INT(K20),L20=INT(L20)),K20*L20,"À compléter"),"À compléter")</x:f>
        <x:v>8</x:v>
      </x:c>
      <x:c r="N20" s="10" t="str">
        <x:f>IF(ISNUMBER(M20),IF(M20&lt;=4,"Faible",IF(M20&lt;=9,"Modéré",IF(M20&lt;=15,"Élevé","Critique"))),"À compléter")</x:f>
        <x:v>Modéré</x:v>
      </x:c>
      <x:c r="O20" s="10" t="str">
        <x:v>V08, F06, VM06</x:v>
      </x:c>
    </x:row>
    <x:row r="21" ht="58" customHeight="1">
      <x:c r="A21" s="10" t="str">
        <x:v>S07</x:v>
      </x:c>
      <x:c r="B21" s="10" t="str">
        <x:v>Incident confirmé affectant le client mais notification et coordination tardives ; exposition prolongée et réponse client retardée</x:v>
      </x:c>
      <x:c r="C21" s="10" t="str">
        <x:v>RS</x:v>
      </x:c>
      <x:c r="D21" s="11" t="n">
        <x:v>3</x:v>
      </x:c>
      <x:c r="E21" s="11" t="n">
        <x:v>4</x:v>
      </x:c>
      <x:c r="F21" s="10" t="n">
        <x:f>IF(AND(ISNUMBER(D21),ISNUMBER(E21)),IF(AND(D21&gt;=1,D21&lt;=5,E21&gt;=1,E21&lt;=5,D21=INT(D21),E21=INT(E21)),D21*E21,"À compléter"),"À compléter")</x:f>
        <x:v>12</x:v>
      </x:c>
      <x:c r="G21" s="11" t="n">
        <x:v>3</x:v>
      </x:c>
      <x:c r="H21" s="11" t="n">
        <x:v>4</x:v>
      </x:c>
      <x:c r="I21" s="10" t="n">
        <x:f>IF(AND(ISNUMBER(G21),ISNUMBER(H21)),IF(AND(G21&gt;=1,G21&lt;=5,H21&gt;=1,H21&lt;=5,G21=INT(G21),H21=INT(H21)),G21*H21,"À compléter"),"À compléter")</x:f>
        <x:v>12</x:v>
      </x:c>
      <x:c r="J21" s="10" t="str">
        <x:f>IF(ISNUMBER(I21),IF(I21&lt;=4,"Faible",IF(I21&lt;=9,"Modéré",IF(I21&lt;=15,"Élevé","Critique"))),"À compléter")</x:f>
        <x:v>Élevé</x:v>
      </x:c>
      <x:c r="K21" s="11" t="n">
        <x:v>2</x:v>
      </x:c>
      <x:c r="L21" s="11" t="n">
        <x:v>4</x:v>
      </x:c>
      <x:c r="M21" s="10" t="n">
        <x:f>IF(AND(ISNUMBER(K21),ISNUMBER(L21)),IF(AND(K21&gt;=1,K21&lt;=5,L21&gt;=1,L21&lt;=5,K21=INT(K21),L21=INT(L21)),K21*L21,"À compléter"),"À compléter")</x:f>
        <x:v>8</x:v>
      </x:c>
      <x:c r="N21" s="10" t="str">
        <x:f>IF(ISNUMBER(M21),IF(M21&lt;=4,"Faible",IF(M21&lt;=9,"Modéré",IF(M21&lt;=15,"Élevé","Critique"))),"À compléter")</x:f>
        <x:v>Modéré</x:v>
      </x:c>
      <x:c r="O21" s="10" t="str">
        <x:v>V02/V08, F07, VM07</x:v>
      </x:c>
    </x:row>
    <x:row r="22" ht="58" customHeight="1">
      <x:c r="A22" s="10" t="str">
        <x:v>S08</x:v>
      </x:c>
      <x:c r="B22" s="10" t="str">
        <x:v>Consultation inter-clients non autorisée de tickets A08 via le défaut applicatif ouvert ; divulgation de données confidentielles</x:v>
      </x:c>
      <x:c r="C22" s="10" t="str">
        <x:v>RS</x:v>
      </x:c>
      <x:c r="D22" s="11" t="n">
        <x:v>4</x:v>
      </x:c>
      <x:c r="E22" s="11" t="n">
        <x:v>4</x:v>
      </x:c>
      <x:c r="F22" s="10" t="n">
        <x:f>IF(AND(ISNUMBER(D22),ISNUMBER(E22)),IF(AND(D22&gt;=1,D22&lt;=5,E22&gt;=1,E22&lt;=5,D22=INT(D22),E22=INT(E22)),D22*E22,"À compléter"),"À compléter")</x:f>
        <x:v>16</x:v>
      </x:c>
      <x:c r="G22" s="11" t="n">
        <x:v>4</x:v>
      </x:c>
      <x:c r="H22" s="11" t="n">
        <x:v>4</x:v>
      </x:c>
      <x:c r="I22" s="10" t="n">
        <x:f>IF(AND(ISNUMBER(G22),ISNUMBER(H22)),IF(AND(G22&gt;=1,G22&lt;=5,H22&gt;=1,H22&lt;=5,G22=INT(G22),H22=INT(H22)),G22*H22,"À compléter"),"À compléter")</x:f>
        <x:v>16</x:v>
      </x:c>
      <x:c r="J22" s="10" t="str">
        <x:f>IF(ISNUMBER(I22),IF(I22&lt;=4,"Faible",IF(I22&lt;=9,"Modéré",IF(I22&lt;=15,"Élevé","Critique"))),"À compléter")</x:f>
        <x:v>Critique</x:v>
      </x:c>
      <x:c r="K22" s="11" t="n">
        <x:v>2</x:v>
      </x:c>
      <x:c r="L22" s="11" t="n">
        <x:v>4</x:v>
      </x:c>
      <x:c r="M22" s="10" t="n">
        <x:f>IF(AND(ISNUMBER(K22),ISNUMBER(L22)),IF(AND(K22&gt;=1,K22&lt;=5,L22&gt;=1,L22&lt;=5,K22=INT(K22),L22=INT(L22)),K22*L22,"À compléter"),"À compléter")</x:f>
        <x:v>8</x:v>
      </x:c>
      <x:c r="N22" s="10" t="str">
        <x:f>IF(ISNUMBER(M22),IF(M22&lt;=4,"Faible",IF(M22&lt;=9,"Modéré",IF(M22&lt;=15,"Élevé","Critique"))),"À compléter")</x:f>
        <x:v>Modéré</x:v>
      </x:c>
      <x:c r="O22" s="10" t="str">
        <x:v>V06, F08, VM08 ; miroir de R08</x:v>
      </x:c>
    </x:row>
  </x:sheetData>
  <x:conditionalFormatting sqref="J15:J22">
    <x:cfRule type="containsText" dxfId="6" priority="1" operator="containsText" text="Critique"/>
    <x:cfRule type="containsText" dxfId="7" priority="2" operator="containsText" text="Élevé"/>
    <x:cfRule type="containsText" dxfId="8" priority="3" operator="containsText" text="À compléter"/>
  </x:conditionalFormatting>
  <x:conditionalFormatting sqref="N15:N22">
    <x:cfRule type="containsText" dxfId="9" priority="4" operator="containsText" text="Critique"/>
    <x:cfRule type="containsText" dxfId="10" priority="5" operator="containsText" text="Élevé"/>
    <x:cfRule type="containsText" dxfId="11" priority="6" operator="containsText" text="À compléter"/>
  </x:conditionalFormatting>
  <x:conditionalFormatting sqref="B10:C10">
    <x:cfRule type="cellIs" dxfId="13" priority="7" operator="greaterThan">
      <x:formula>0</x:formula>
    </x:cfRule>
  </x:conditionalFormatting>
  <x:dataValidations count="3">
    <x:dataValidation type="whole" errorStyle="stop" operator="between" showErrorMessage="1" errorTitle="Cotation non valide" error="Saisir un entier de 1 à 5. Une valeur manquante doit rester à compléter." sqref="D15:E22">
      <x:formula1>1</x:formula1>
      <x:formula2>5</x:formula2>
    </x:dataValidation>
    <x:dataValidation type="whole" errorStyle="stop" operator="between" showErrorMessage="1" errorTitle="Cotation non valide" error="Saisir un entier de 1 à 5. Une valeur manquante doit rester à compléter." sqref="G15:H22">
      <x:formula1>1</x:formula1>
      <x:formula2>5</x:formula2>
    </x:dataValidation>
    <x:dataValidation type="whole" errorStyle="stop" operator="between" showErrorMessage="1" errorTitle="Cotation non valide" error="Saisir un entier de 1 à 5. Une valeur manquante doit rester à compléter." sqref="K15:L22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1e3b5f283f446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8.75" hidden="0" customWidth="1"/>
    <x:col min="2" max="2" width="12.5" hidden="0" customWidth="1"/>
    <x:col min="3" max="3" width="48.130001068115234" hidden="0" customWidth="1"/>
    <x:col min="4" max="4" width="23.1299991607666" hidden="0" customWidth="1"/>
    <x:col min="5" max="5" width="21.25" hidden="0" customWidth="1"/>
    <x:col min="6" max="6" width="16.25" hidden="0" customWidth="1"/>
    <x:col min="7" max="7" width="55" hidden="0" customWidth="1"/>
    <x:col min="8" max="8" width="23.75" hidden="0" customWidth="1"/>
    <x:col min="9" max="9" width="16.25" hidden="0" customWidth="1"/>
    <x:col min="10" max="10" width="15" hidden="0" customWidth="1"/>
    <x:col min="11" max="11" width="26.87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Traitements SSI et fournisseur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Cas fictif au 07/10/2026. Cibles conditionnelles. Les tests personnels ne clôturent aucune action.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 t="str">
        <x:v>Source : plans M01 à M12 et VM01 à VM08 ; propositions du cas, aucune clôture réelle.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 t="str">
        <x:v>Saisir pièce reçue, relecteur et date de vérification ; conserver les conditions de clôture propres à chaque action.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40" customHeight="1">
      <x:c r="A14" s="8" t="str">
        <x:v>Action</x:v>
      </x:c>
      <x:c r="B14" s="8" t="str">
        <x:v>Risque constat</x:v>
      </x:c>
      <x:c r="C14" s="8" t="str">
        <x:v>Traitement demandé</x:v>
      </x:c>
      <x:c r="D14" s="8" t="str">
        <x:v>Pilote</x:v>
      </x:c>
      <x:c r="E14" s="8" t="str">
        <x:v>Échéances du cas</x:v>
      </x:c>
      <x:c r="F14" s="8" t="str">
        <x:v>État</x:v>
      </x:c>
      <x:c r="G14" s="8" t="str">
        <x:v>Preuve attendue</x:v>
      </x:c>
      <x:c r="H14" s="8" t="str">
        <x:v>Pièce reçue</x:v>
      </x:c>
      <x:c r="I14" s="8" t="str">
        <x:v>Relecteur</x:v>
      </x:c>
      <x:c r="J14" s="8" t="str">
        <x:v>Date vérifiée</x:v>
      </x:c>
      <x:c r="K14" s="8" t="str">
        <x:v>Suite à donner</x:v>
      </x:c>
    </x:row>
    <x:row r="15" ht="135" customHeight="1">
      <x:c r="A15" s="10" t="str">
        <x:v>M01</x:v>
      </x:c>
      <x:c r="B15" s="10" t="str">
        <x:v>R01</x:v>
      </x:c>
      <x:c r="C15" s="10" t="str">
        <x:v>Retirer l'accès partagé, limiter les droits, imposer le MFA privilégié et contrôler la récupération</x:v>
      </x:c>
      <x:c r="D15" s="10" t="str">
        <x:v>RI</x:v>
      </x:c>
      <x:c r="E15" s="10" t="str">
        <x:v>J+2, 9 octobre</x:v>
      </x:c>
      <x:c r="F15" s="10" t="str">
        <x:v>Proposée</x:v>
      </x:c>
      <x:c r="G15" s="10" t="str">
        <x:v>Export de tous les comptes privilégiés, exceptions approuvées, essais positifs/négatifs et retrait des sessions</x:v>
      </x:c>
      <x:c r="H15" s="11"/>
      <x:c r="I15" s="11"/>
      <x:c r="J15" s="14"/>
      <x:c r="K15" s="10" t="str">
        <x:f>IF(H15="","Pièce attendue",IF(I15="","Relecteur à renseigner",IF(J15="","Vérification à dater",IF(F15="Close","Revoir après changement","Évaluer tous les critères avant clôture"))))</x:f>
        <x:v>Pièce attendue</x:v>
      </x:c>
    </x:row>
    <x:row r="16" ht="135" customHeight="1">
      <x:c r="A16" s="10" t="str">
        <x:v>M02</x:v>
      </x:c>
      <x:c r="B16" s="10" t="str">
        <x:v>R02</x:v>
      </x:c>
      <x:c r="C16" s="10" t="str">
        <x:v>Compléter protection des accès et de la messagerie, sensibilisation adaptée au phishing</x:v>
      </x:c>
      <x:c r="D16" s="10" t="str">
        <x:v>RI et RS</x:v>
      </x:c>
      <x:c r="E16" s="10" t="str">
        <x:v>J+30, 6 novembre</x:v>
      </x:c>
      <x:c r="F16" s="10" t="str">
        <x:v>Proposée</x:v>
      </x:c>
      <x:c r="G16" s="10" t="str">
        <x:v>Configurations et exercice documentés, accès revus, canal d'alerte connu</x:v>
      </x:c>
      <x:c r="H16" s="11"/>
      <x:c r="I16" s="11"/>
      <x:c r="J16" s="14"/>
      <x:c r="K16" s="10" t="str">
        <x:f>IF(H16="","Pièce attendue",IF(I16="","Relecteur à renseigner",IF(J16="","Vérification à dater",IF(F16="Close","Revoir après changement","Évaluer tous les critères avant clôture"))))</x:f>
        <x:v>Pièce attendue</x:v>
      </x:c>
    </x:row>
    <x:row r="17" ht="135" customHeight="1">
      <x:c r="A17" s="10" t="str">
        <x:v>M03</x:v>
      </x:c>
      <x:c r="B17" s="10" t="str">
        <x:v>R03</x:v>
      </x:c>
      <x:c r="C17" s="10" t="str">
        <x:v>Protéger les sauvegardes, séparer les accès et réaliser une restauration de contrôle</x:v>
      </x:c>
      <x:c r="D17" s="10" t="str">
        <x:v>RI</x:v>
      </x:c>
      <x:c r="E17" s="10" t="str">
        <x:v>Mesure conservatoire J+2 ; preuve complète J+15, 22 octobre</x:v>
      </x:c>
      <x:c r="F17" s="10" t="str">
        <x:v>Proposée</x:v>
      </x:c>
      <x:c r="G17" s="10" t="str">
        <x:v>Test isolé, intégrité, RTO/RPO validés et procédure répétable</x:v>
      </x:c>
      <x:c r="H17" s="11"/>
      <x:c r="I17" s="11"/>
      <x:c r="J17" s="14"/>
      <x:c r="K17" s="10" t="str">
        <x:f>IF(H17="","Pièce attendue",IF(I17="","Relecteur à renseigner",IF(J17="","Vérification à dater",IF(F17="Close","Revoir après changement","Évaluer tous les critères avant clôture"))))</x:f>
        <x:v>Pièce attendue</x:v>
      </x:c>
    </x:row>
    <x:row r="18" ht="135" customHeight="1">
      <x:c r="A18" s="10" t="str">
        <x:v>M04</x:v>
      </x:c>
      <x:c r="B18" s="10" t="str">
        <x:v>R04</x:v>
      </x:c>
      <x:c r="C18" s="10" t="str">
        <x:v>Étendre les sources prioritaires, définir alerte, revue, conservation et protection des journaux</x:v>
      </x:c>
      <x:c r="D18" s="10" t="str">
        <x:v>RI</x:v>
      </x:c>
      <x:c r="E18" s="10" t="str">
        <x:v>J+30, 6 novembre</x:v>
      </x:c>
      <x:c r="F18" s="10" t="str">
        <x:v>Proposée</x:v>
      </x:c>
      <x:c r="G18" s="10" t="str">
        <x:v>Inventaire des sources, réception et alerte testées, revue et contrôle des accès</x:v>
      </x:c>
      <x:c r="H18" s="11"/>
      <x:c r="I18" s="11"/>
      <x:c r="J18" s="14"/>
      <x:c r="K18" s="10" t="str">
        <x:f>IF(H18="","Pièce attendue",IF(I18="","Relecteur à renseigner",IF(J18="","Vérification à dater",IF(F18="Close","Revoir après changement","Évaluer tous les critères avant clôture"))))</x:f>
        <x:v>Pièce attendue</x:v>
      </x:c>
    </x:row>
    <x:row r="19" ht="135" customHeight="1">
      <x:c r="A19" s="10" t="str">
        <x:v>M05</x:v>
      </x:c>
      <x:c r="B19" s="10" t="str">
        <x:v>R05</x:v>
      </x:c>
      <x:c r="C19" s="10" t="str">
        <x:v>Réduire l'exposition de la fonction vulnérable, corriger et faire valider le correctif</x:v>
      </x:c>
      <x:c r="D19" s="10" t="str">
        <x:v>RD</x:v>
      </x:c>
      <x:c r="E19" s="10" t="str">
        <x:v>Restriction J+2 ; correction J+10, 17 octobre</x:v>
      </x:c>
      <x:c r="F19" s="10" t="str">
        <x:v>Proposée</x:v>
      </x:c>
      <x:c r="G19" s="10" t="str">
        <x:v>Preuve de correction et retest autorisé, sans vulnérabilité ouverte équivalente</x:v>
      </x:c>
      <x:c r="H19" s="11"/>
      <x:c r="I19" s="11"/>
      <x:c r="J19" s="14"/>
      <x:c r="K19" s="10" t="str">
        <x:f>IF(H19="","Pièce attendue",IF(I19="","Relecteur à renseigner",IF(J19="","Vérification à dater",IF(F19="Close","Revoir après changement","Évaluer tous les critères avant clôture"))))</x:f>
        <x:v>Pièce attendue</x:v>
      </x:c>
    </x:row>
    <x:row r="20" ht="135" customHeight="1">
      <x:c r="A20" s="10" t="str">
        <x:v>M06</x:v>
      </x:c>
      <x:c r="B20" s="10" t="str">
        <x:v>R06</x:v>
      </x:c>
      <x:c r="C20" s="10" t="str">
        <x:v>Invalider le secret exposé dans le scénario, effectuer la rotation et contrôler le dépôt et son historique</x:v>
      </x:c>
      <x:c r="D20" s="10" t="str">
        <x:v>RD</x:v>
      </x:c>
      <x:c r="E20" s="10" t="str">
        <x:v>J+1, 8 octobre</x:v>
      </x:c>
      <x:c r="F20" s="10" t="str">
        <x:v>Proposée</x:v>
      </x:c>
      <x:c r="G20" s="10" t="str">
        <x:v>Ancien secret inutilisable, nouveau secret stocké hors dépôt, revue documentée des chemins concernés</x:v>
      </x:c>
      <x:c r="H20" s="11"/>
      <x:c r="I20" s="11"/>
      <x:c r="J20" s="14"/>
      <x:c r="K20" s="10" t="str">
        <x:f>IF(H20="","Pièce attendue",IF(I20="","Relecteur à renseigner",IF(J20="","Vérification à dater",IF(F20="Close","Revoir après changement","Évaluer tous les critères avant clôture"))))</x:f>
        <x:v>Pièce attendue</x:v>
      </x:c>
    </x:row>
    <x:row r="21" ht="135" customHeight="1">
      <x:c r="A21" s="10" t="str">
        <x:v>M07</x:v>
      </x:c>
      <x:c r="B21" s="10" t="str">
        <x:v>R07</x:v>
      </x:c>
      <x:c r="C21" s="10" t="str">
        <x:v>Désactiver l'accès de départ et formaliser le retrait de comptes, sessions et jetons</x:v>
      </x:c>
      <x:c r="D21" s="10" t="str">
        <x:v>RI et RH</x:v>
      </x:c>
      <x:c r="E21" s="10" t="str">
        <x:v>Cas ouvert J+1 ; processus J+15</x:v>
      </x:c>
      <x:c r="F21" s="10" t="str">
        <x:v>Proposée</x:v>
      </x:c>
      <x:c r="G21" s="10" t="str">
        <x:v>Preuve de retrait de l'accès et fiche de sortie complète</x:v>
      </x:c>
      <x:c r="H21" s="11"/>
      <x:c r="I21" s="11"/>
      <x:c r="J21" s="14"/>
      <x:c r="K21" s="10" t="str">
        <x:f>IF(H21="","Pièce attendue",IF(I21="","Relecteur à renseigner",IF(J21="","Vérification à dater",IF(F21="Close","Revoir après changement","Évaluer tous les critères avant clôture"))))</x:f>
        <x:v>Pièce attendue</x:v>
      </x:c>
    </x:row>
    <x:row r="22" ht="135" customHeight="1">
      <x:c r="A22" s="10" t="str">
        <x:v>M08</x:v>
      </x:c>
      <x:c r="B22" s="10" t="str">
        <x:v>R08</x:v>
      </x:c>
      <x:c r="C22" s="10" t="str">
        <x:v>Maintenir le SaaS hors production et exiger la clôture du défaut inter-clients et des blocages fournisseur</x:v>
      </x:c>
      <x:c r="D22" s="10" t="str">
        <x:v>RS</x:v>
      </x:c>
      <x:c r="E22" s="10" t="str">
        <x:v>Avant toute donnée réelle</x:v>
      </x:c>
      <x:c r="F22" s="10" t="str">
        <x:v>Proposée</x:v>
      </x:c>
      <x:c r="G22" s="10" t="str">
        <x:v>Décision fondée sur preuves et critères du projet 2, sans acceptation par simple courriel commercial</x:v>
      </x:c>
      <x:c r="H22" s="11"/>
      <x:c r="I22" s="11"/>
      <x:c r="J22" s="14"/>
      <x:c r="K22" s="10" t="str">
        <x:f>IF(H22="","Pièce attendue",IF(I22="","Relecteur à renseigner",IF(J22="","Vérification à dater",IF(F22="Close","Revoir après changement","Évaluer tous les critères avant clôture"))))</x:f>
        <x:v>Pièce attendue</x:v>
      </x:c>
    </x:row>
    <x:row r="23" ht="135" customHeight="1">
      <x:c r="A23" s="10" t="str">
        <x:v>M09</x:v>
      </x:c>
      <x:c r="B23" s="10" t="str">
        <x:v>R09</x:v>
      </x:c>
      <x:c r="C23" s="10" t="str">
        <x:v>Limiter exports et accès, fixer une durée justifiée et une suppression contrôlée</x:v>
      </x:c>
      <x:c r="D23" s="10" t="str">
        <x:v>RS</x:v>
      </x:c>
      <x:c r="E23" s="10" t="str">
        <x:v>J+30, 6 novembre</x:v>
      </x:c>
      <x:c r="F23" s="10" t="str">
        <x:v>Proposée</x:v>
      </x:c>
      <x:c r="G23" s="10" t="str">
        <x:v>Inventaire des exports, habilitations et exemple de suppression</x:v>
      </x:c>
      <x:c r="H23" s="11"/>
      <x:c r="I23" s="11"/>
      <x:c r="J23" s="14"/>
      <x:c r="K23" s="10" t="str">
        <x:f>IF(H23="","Pièce attendue",IF(I23="","Relecteur à renseigner",IF(J23="","Vérification à dater",IF(F23="Close","Revoir après changement","Évaluer tous les critères avant clôture"))))</x:f>
        <x:v>Pièce attendue</x:v>
      </x:c>
    </x:row>
    <x:row r="24" ht="135" customHeight="1">
      <x:c r="A24" s="10" t="str">
        <x:v>M10</x:v>
      </x:c>
      <x:c r="B24" s="10" t="str">
        <x:v>R10</x:v>
      </x:c>
      <x:c r="C24" s="10" t="str">
        <x:v>Désigner un suppléant et exercer une procédure de reprise documentaire</x:v>
      </x:c>
      <x:c r="D24" s="10" t="str">
        <x:v>RI</x:v>
      </x:c>
      <x:c r="E24" s="10" t="str">
        <x:v>J+60, 6 décembre</x:v>
      </x:c>
      <x:c r="F24" s="10" t="str">
        <x:v>Proposée</x:v>
      </x:c>
      <x:c r="G24" s="10" t="str">
        <x:v>Exercice effectué par le suppléant et limites relevées</x:v>
      </x:c>
      <x:c r="H24" s="11"/>
      <x:c r="I24" s="11"/>
      <x:c r="J24" s="14"/>
      <x:c r="K24" s="10" t="str">
        <x:f>IF(H24="","Pièce attendue",IF(I24="","Relecteur à renseigner",IF(J24="","Vérification à dater",IF(F24="Close","Revoir après changement","Évaluer tous les critères avant clôture"))))</x:f>
        <x:v>Pièce attendue</x:v>
      </x:c>
    </x:row>
    <x:row r="25" ht="135" customHeight="1">
      <x:c r="A25" s="10" t="str">
        <x:v>M11</x:v>
      </x:c>
      <x:c r="B25" s="10" t="str">
        <x:v>R11</x:v>
      </x:c>
      <x:c r="C25" s="10" t="str">
        <x:v>Chiffrer le poste concerné, conserver la récupération en lieu contrôlé et examiner les autres postes</x:v>
      </x:c>
      <x:c r="D25" s="10" t="str">
        <x:v>RI</x:v>
      </x:c>
      <x:c r="E25" s="10" t="str">
        <x:v>Poste ouvert J+2 ; inventaire J+15</x:v>
      </x:c>
      <x:c r="F25" s="10" t="str">
        <x:v>Proposée</x:v>
      </x:c>
      <x:c r="G25" s="10" t="str">
        <x:v>État du volume et récupération contrôlée, couverture documentée</x:v>
      </x:c>
      <x:c r="H25" s="11"/>
      <x:c r="I25" s="11"/>
      <x:c r="J25" s="14"/>
      <x:c r="K25" s="10" t="str">
        <x:f>IF(H25="","Pièce attendue",IF(I25="","Relecteur à renseigner",IF(J25="","Vérification à dater",IF(F25="Close","Revoir après changement","Évaluer tous les critères avant clôture"))))</x:f>
        <x:v>Pièce attendue</x:v>
      </x:c>
    </x:row>
    <x:row r="26" ht="135" customHeight="1">
      <x:c r="A26" s="10" t="str">
        <x:v>M12</x:v>
      </x:c>
      <x:c r="B26" s="10" t="str">
        <x:v>R12</x:v>
      </x:c>
      <x:c r="C26" s="10" t="str">
        <x:v>Mettre en place approbation, vérification et retour arrière pour les changements sensibles</x:v>
      </x:c>
      <x:c r="D26" s="10" t="str">
        <x:v>RD</x:v>
      </x:c>
      <x:c r="E26" s="10" t="str">
        <x:v>J+30, 6 novembre</x:v>
      </x:c>
      <x:c r="F26" s="10" t="str">
        <x:v>Proposée</x:v>
      </x:c>
      <x:c r="G26" s="10" t="str">
        <x:v>Dossier d'un changement complet, approbation indépendante et vérification du retour arrière</x:v>
      </x:c>
      <x:c r="H26" s="11"/>
      <x:c r="I26" s="11"/>
      <x:c r="J26" s="14"/>
      <x:c r="K26" s="10" t="str">
        <x:f>IF(H26="","Pièce attendue",IF(I26="","Relecteur à renseigner",IF(J26="","Vérification à dater",IF(F26="Close","Revoir après changement","Évaluer tous les critères avant clôture"))))</x:f>
        <x:v>Pièce attendue</x:v>
      </x:c>
    </x:row>
    <x:row r="27" ht="135" customHeight="1">
      <x:c r="A27" s="10" t="str">
        <x:v>VM01</x:v>
      </x:c>
      <x:c r="B27" s="10" t="str">
        <x:v>S01/F01</x:v>
      </x:c>
      <x:c r="C27" s="10" t="str">
        <x:v>Comptes administrateurs individuels, MFA imposé pour la formule retenue, récupération et sessions maîtrisées</x:v>
      </x:c>
      <x:c r="D27" s="10" t="str">
        <x:v>RI / responsable IAM fournisseur</x:v>
      </x:c>
      <x:c r="E27" s="10" t="str">
        <x:v>J+15, 22 octobre ; avant production</x:v>
      </x:c>
      <x:c r="F27" s="10" t="str">
        <x:v>Ouverte</x:v>
      </x:c>
      <x:c r="G27" s="10" t="str">
        <x:v>Matrice complète des administrateurs, règles effectives et essais d'authentification positive/négative sur tenant d'essai. Une fiche Enterprise seule est rejetée</x:v>
      </x:c>
      <x:c r="H27" s="11"/>
      <x:c r="I27" s="11"/>
      <x:c r="J27" s="14"/>
      <x:c r="K27" s="10" t="str">
        <x:f>IF(H27="","Pièce attendue",IF(I27="","Relecteur à renseigner",IF(J27="","Vérification à dater",IF(F27="Close","Revoir après changement","Évaluer tous les critères avant clôture"))))</x:f>
        <x:v>Pièce attendue</x:v>
      </x:c>
    </x:row>
    <x:row r="28" ht="135" customHeight="1">
      <x:c r="A28" s="10" t="str">
        <x:v>VM02</x:v>
      </x:c>
      <x:c r="B28" s="10" t="str">
        <x:v>S02/F02</x:v>
      </x:c>
      <x:c r="C28" s="10" t="str">
        <x:v>Retirer SUPPORT-PARTAGE, encadrer accès support temporaires, revue et journalisation nominative</x:v>
      </x:c>
      <x:c r="D28" s="10" t="str">
        <x:v>RSSI / responsable opérations fournisseur</x:v>
      </x:c>
      <x:c r="E28" s="10" t="str">
        <x:v>J+15, 22 octobre ; avant production</x:v>
      </x:c>
      <x:c r="F28" s="10" t="str">
        <x:v>Ouverte</x:v>
      </x:c>
      <x:c r="G28" s="10" t="str">
        <x:v>Liste de population privilégiée, retrait du compte partagé, MFA et revue avec décideur. RSSI examine les exceptions et les accès d'urgence</x:v>
      </x:c>
      <x:c r="H28" s="11"/>
      <x:c r="I28" s="11"/>
      <x:c r="J28" s="14"/>
      <x:c r="K28" s="10" t="str">
        <x:f>IF(H28="","Pièce attendue",IF(I28="","Relecteur à renseigner",IF(J28="","Vérification à dater",IF(F28="Close","Revoir après changement","Évaluer tous les critères avant clôture"))))</x:f>
        <x:v>Pièce attendue</x:v>
      </x:c>
    </x:row>
    <x:row r="29" ht="135" customHeight="1">
      <x:c r="A29" s="10" t="str">
        <x:v>VM03</x:v>
      </x:c>
      <x:c r="B29" s="10" t="str">
        <x:v>S03/F03</x:v>
      </x:c>
      <x:c r="C29" s="10" t="str">
        <x:v>Couvrir les événements utiles sur 90 jours, protéger les traces et limiter les droits ; préciser la solution Standard ou une autre formule</x:v>
      </x:c>
      <x:c r="D29" s="10" t="str">
        <x:v>RI / responsable service et logs fournisseur</x:v>
      </x:c>
      <x:c r="E29" s="10" t="str">
        <x:v>J+30, 6 novembre ; avant production</x:v>
      </x:c>
      <x:c r="F29" s="10" t="str">
        <x:v>Ouverte</x:v>
      </x:c>
      <x:c r="G29" s="10" t="str">
        <x:v>Échantillon représentatif, conservation configurée, accès/protection et récupération d'événements vérifiés. L'export manuel partiel ne clôture pas l'action</x:v>
      </x:c>
      <x:c r="H29" s="11"/>
      <x:c r="I29" s="11"/>
      <x:c r="J29" s="14"/>
      <x:c r="K29" s="10" t="str">
        <x:f>IF(H29="","Pièce attendue",IF(I29="","Relecteur à renseigner",IF(J29="","Vérification à dater",IF(F29="Close","Revoir après changement","Évaluer tous les critères avant clôture"))))</x:f>
        <x:v>Pièce attendue</x:v>
      </x:c>
    </x:row>
    <x:row r="30" ht="135" customHeight="1">
      <x:c r="A30" s="10" t="str">
        <x:v>VM04</x:v>
      </x:c>
      <x:c r="B30" s="10" t="str">
        <x:v>S04/F04</x:v>
      </x:c>
      <x:c r="C30" s="10" t="str">
        <x:v>Démontrer reprise du service complet et point de reprise, puis une voie de récupération client exploitable</x:v>
      </x:c>
      <x:c r="D30" s="10" t="str">
        <x:v>RI et RS / responsable continuité fournisseur</x:v>
      </x:c>
      <x:c r="E30" s="10" t="str">
        <x:v>J+30, 6 novembre ; avant production</x:v>
      </x:c>
      <x:c r="F30" s="10" t="str">
        <x:v>Ouverte</x:v>
      </x:c>
      <x:c r="G30" s="10" t="str">
        <x:v>Rapport avec début/fin, composants, données restaurées, contrôles d'intégrité, dépendances, RTO/RPO observés et limites. RS confirme les objectifs métier</x:v>
      </x:c>
      <x:c r="H30" s="11"/>
      <x:c r="I30" s="11"/>
      <x:c r="J30" s="14"/>
      <x:c r="K30" s="10" t="str">
        <x:f>IF(H30="","Pièce attendue",IF(I30="","Relecteur à renseigner",IF(J30="","Vérification à dater",IF(F30="Close","Revoir après changement","Évaluer tous les critères avant clôture"))))</x:f>
        <x:v>Pièce attendue</x:v>
      </x:c>
    </x:row>
    <x:row r="31" ht="135" customHeight="1">
      <x:c r="A31" s="10" t="str">
        <x:v>VM05</x:v>
      </x:c>
      <x:c r="B31" s="10" t="str">
        <x:v>S05/F05</x:v>
      </x:c>
      <x:c r="C31" s="10" t="str">
        <x:v>Compléter tiers/localisations/accès, responsabilités, exigences de sécurité et modalités de changement</x:v>
      </x:c>
      <x:c r="D31" s="10" t="str">
        <x:v>RJ et RSSI / responsable données et contrats fournisseur</x:v>
      </x:c>
      <x:c r="E31" s="10" t="str">
        <x:v>J+15, 22 octobre ; avant production</x:v>
      </x:c>
      <x:c r="F31" s="10" t="str">
        <x:v>Ouverte</x:v>
      </x:c>
      <x:c r="G31" s="10" t="str">
        <x:v>Cartographie et liste complètes, restrictions d'accès, contrat pertinent et revue compétente documentée. Aucun avis juridique favorable n'est présumé</x:v>
      </x:c>
      <x:c r="H31" s="11"/>
      <x:c r="I31" s="11"/>
      <x:c r="J31" s="14"/>
      <x:c r="K31" s="10" t="str">
        <x:f>IF(H31="","Pièce attendue",IF(I31="","Relecteur à renseigner",IF(J31="","Vérification à dater",IF(F31="Close","Revoir après changement","Évaluer tous les critères avant clôture"))))</x:f>
        <x:v>Pièce attendue</x:v>
      </x:c>
    </x:row>
    <x:row r="32" ht="135" customHeight="1">
      <x:c r="A32" s="10" t="str">
        <x:v>VM06</x:v>
      </x:c>
      <x:c r="B32" s="10" t="str">
        <x:v>S06/F06</x:v>
      </x:c>
      <x:c r="C32" s="10" t="str">
        <x:v>Négocier fenêtre de récupération, export complet, restitution, suppression et exceptions de sauvegarde</x:v>
      </x:c>
      <x:c r="D32" s="10" t="str">
        <x:v>RS et RJ / responsable service fournisseur</x:v>
      </x:c>
      <x:c r="E32" s="10" t="str">
        <x:v>J+30, 6 novembre ; avant production</x:v>
      </x:c>
      <x:c r="F32" s="10" t="str">
        <x:v>Ouverte</x:v>
      </x:c>
      <x:c r="G32" s="10" t="str">
        <x:v>Export de tickets ET pièces testé, réutilisation démontrée, clause de fenêtre suffisante et délais distincts de suppression. Assurance adaptée de fin de traitement prévue</x:v>
      </x:c>
      <x:c r="H32" s="11"/>
      <x:c r="I32" s="11"/>
      <x:c r="J32" s="14"/>
      <x:c r="K32" s="10" t="str">
        <x:f>IF(H32="","Pièce attendue",IF(I32="","Relecteur à renseigner",IF(J32="","Vérification à dater",IF(F32="Close","Revoir après changement","Évaluer tous les critères avant clôture"))))</x:f>
        <x:v>Pièce attendue</x:v>
      </x:c>
    </x:row>
    <x:row r="33" ht="135" customHeight="1">
      <x:c r="A33" s="10" t="str">
        <x:v>VM07</x:v>
      </x:c>
      <x:c r="B33" s="10" t="str">
        <x:v>S07/F07</x:v>
      </x:c>
      <x:c r="C33" s="10" t="str">
        <x:v>Convenir notification initiale sous 24 heures après confirmation d'un incident affectant le client ; contacts, escalade et exercice commun</x:v>
      </x:c>
      <x:c r="D33" s="10" t="str">
        <x:v>RSSI et RJ / responsable incidents fournisseur</x:v>
      </x:c>
      <x:c r="E33" s="10" t="str">
        <x:v>Clause J+15 ; exercice J+30, 6 novembre ; avant production</x:v>
      </x:c>
      <x:c r="F33" s="10" t="str">
        <x:v>Ouverte</x:v>
      </x:c>
      <x:c r="G33" s="10" t="str">
        <x:v>Clause acceptée, contacts et scénario de table avec chronologie, décisions et écarts. Pas de notification réelle ni d'attaque dans l'exercice</x:v>
      </x:c>
      <x:c r="H33" s="11"/>
      <x:c r="I33" s="11"/>
      <x:c r="J33" s="14"/>
      <x:c r="K33" s="10" t="str">
        <x:f>IF(H33="","Pièce attendue",IF(I33="","Relecteur à renseigner",IF(J33="","Vérification à dater",IF(F33="Close","Revoir après changement","Évaluer tous les critères avant clôture"))))</x:f>
        <x:v>Pièce attendue</x:v>
      </x:c>
    </x:row>
    <x:row r="34" ht="135" customHeight="1">
      <x:c r="A34" s="10" t="str">
        <x:v>VM08</x:v>
      </x:c>
      <x:c r="B34" s="10" t="str">
        <x:v>S08/F08</x:v>
      </x:c>
      <x:c r="C34" s="10" t="str">
        <x:v>Corriger le défaut d'autorisation inter-clients et faire retester le périmètre affecté</x:v>
      </x:c>
      <x:c r="D34" s="10" t="str">
        <x:v>RSSI / responsable développement et test fournisseur</x:v>
      </x:c>
      <x:c r="E34" s="10" t="str">
        <x:v>Plan J+2, 9 octobre ; correction et retest visés J+10, 17 octobre ; avant production</x:v>
      </x:c>
      <x:c r="F34" s="10" t="str">
        <x:v>Ouverte</x:v>
      </x:c>
      <x:c r="G34" s="10" t="str">
        <x:v>Preuve du correctif, version, tests de refus entre tenants, vérification des voies concernées et limites du retest. Aucun test intrusif client non autorisé</x:v>
      </x:c>
      <x:c r="H34" s="11"/>
      <x:c r="I34" s="11"/>
      <x:c r="J34" s="14"/>
      <x:c r="K34" s="10" t="str">
        <x:f>IF(H34="","Pièce attendue",IF(I34="","Relecteur à renseigner",IF(J34="","Vérification à dater",IF(F34="Close","Revoir après changement","Évaluer tous les critères avant clôture"))))</x:f>
        <x:v>Pièce attendue</x:v>
      </x:c>
    </x:row>
  </x:sheetData>
  <x:dataValidations count="1">
    <x:dataValidation type="list" sqref="F15:F34">
      <x:formula1>"Proposée,Ouverte,En cours,Preuve reçue,Vérifiée,Close"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64b477988649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12.5" hidden="0" customWidth="1"/>
    <x:col min="2" max="2" width="18.75" hidden="0" customWidth="1"/>
    <x:col min="3" max="3" width="33.130001068115234" hidden="0" customWidth="1"/>
    <x:col min="4" max="4" width="22.5" hidden="0" customWidth="1"/>
    <x:col min="5" max="5" width="33.130001068115234" hidden="0" customWidth="1"/>
    <x:col min="6" max="6" width="45" hidden="0" customWidth="1"/>
    <x:col min="7" max="7" width="17.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Conditions avant production SupportCloud</x:v>
      </x:c>
      <x:c r="B2" s="1"/>
      <x:c r="C2" s="1"/>
      <x:c r="D2" s="1"/>
      <x:c r="E2" s="1"/>
      <x:c r="F2" s="1"/>
      <x:c r="G2" s="1"/>
    </x:row>
    <x:row r="3">
      <x:c r="A3" s="3" t="str">
        <x:v>Cas fictif au 07/10/2026. Cibles conditionnelles. Les tests personnels ne clôturent aucune action.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1" t="str">
        <x:v>Source : Projet_2_TPRM/05_remediation_suivi.md. Aucune condition satisfaite ; décision de production défavorable.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 t="str">
        <x:v>Une pièce de test personnel ne clôture pas une condition fournisseur. Consigner tous les éléments attendus.</x:v>
      </x:c>
      <x:c r="B7" s="1"/>
      <x:c r="C7" s="1"/>
      <x:c r="D7" s="1"/>
      <x:c r="E7" s="1"/>
      <x:c r="F7" s="1"/>
      <x:c r="G7" s="1"/>
    </x:row>
    <x:row r="8">
      <x:c r="A8" s="1"/>
      <x:c r="B8" s="1"/>
      <x:c r="C8" s="1"/>
      <x:c r="D8" s="1"/>
      <x:c r="E8" s="1"/>
      <x:c r="F8" s="1"/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 ht="50" customHeight="1">
      <x:c r="A14" s="8" t="str">
        <x:v>Condition</x:v>
      </x:c>
      <x:c r="B14" s="8" t="str">
        <x:v>Actions</x:v>
      </x:c>
      <x:c r="C14" s="8" t="str">
        <x:v>Objet</x:v>
      </x:c>
      <x:c r="D14" s="8" t="str">
        <x:v>État de référence</x:v>
      </x:c>
      <x:c r="E14" s="8" t="str">
        <x:v>Pièces pertinentes</x:v>
      </x:c>
      <x:c r="F14" s="8" t="str">
        <x:v>Décision motivée</x:v>
      </x:c>
      <x:c r="G14" s="8" t="str">
        <x:v>Date revue</x:v>
      </x:c>
    </x:row>
    <x:row r="15" ht="50" customHeight="1">
      <x:c r="A15" s="10" t="str">
        <x:v>G1</x:v>
      </x:c>
      <x:c r="B15" s="10" t="str">
        <x:v>VM08</x:v>
      </x:c>
      <x:c r="C15" s="10" t="str">
        <x:v>Isolation inter-clients</x:v>
      </x:c>
      <x:c r="D15" s="10" t="str">
        <x:v>Non satisfaite</x:v>
      </x:c>
      <x:c r="E15" s="11"/>
      <x:c r="F15" s="11"/>
      <x:c r="G15" s="14"/>
    </x:row>
    <x:row r="16" ht="50" customHeight="1">
      <x:c r="A16" s="10" t="str">
        <x:v>G2</x:v>
      </x:c>
      <x:c r="B16" s="10" t="str">
        <x:v>VM01, VM02</x:v>
      </x:c>
      <x:c r="C16" s="10" t="str">
        <x:v>Accès privilégiés</x:v>
      </x:c>
      <x:c r="D16" s="10" t="str">
        <x:v>Non satisfaite</x:v>
      </x:c>
      <x:c r="E16" s="11"/>
      <x:c r="F16" s="11"/>
      <x:c r="G16" s="14"/>
    </x:row>
    <x:row r="17" ht="50" customHeight="1">
      <x:c r="A17" s="10" t="str">
        <x:v>G3</x:v>
      </x:c>
      <x:c r="B17" s="10" t="str">
        <x:v>VM04</x:v>
      </x:c>
      <x:c r="C17" s="10" t="str">
        <x:v>Reprise et récupération</x:v>
      </x:c>
      <x:c r="D17" s="10" t="str">
        <x:v>Non démontrée</x:v>
      </x:c>
      <x:c r="E17" s="11"/>
      <x:c r="F17" s="11"/>
      <x:c r="G17" s="14"/>
    </x:row>
    <x:row r="18" ht="50" customHeight="1">
      <x:c r="A18" s="10" t="str">
        <x:v>G4</x:v>
      </x:c>
      <x:c r="B18" s="10" t="str">
        <x:v>VM03, VM07</x:v>
      </x:c>
      <x:c r="C18" s="10" t="str">
        <x:v>Investigation et incident</x:v>
      </x:c>
      <x:c r="D18" s="10" t="str">
        <x:v>Non satisfaite</x:v>
      </x:c>
      <x:c r="E18" s="11"/>
      <x:c r="F18" s="11"/>
      <x:c r="G18" s="14"/>
    </x:row>
    <x:row r="19" ht="50" customHeight="1">
      <x:c r="A19" s="10" t="str">
        <x:v>G5</x:v>
      </x:c>
      <x:c r="B19" s="10" t="str">
        <x:v>VM05</x:v>
      </x:c>
      <x:c r="C19" s="10" t="str">
        <x:v>Données et tiers</x:v>
      </x:c>
      <x:c r="D19" s="10" t="str">
        <x:v>Non démontrée</x:v>
      </x:c>
      <x:c r="E19" s="11"/>
      <x:c r="F19" s="11"/>
      <x:c r="G19" s="14"/>
    </x:row>
    <x:row r="20" ht="50" customHeight="1">
      <x:c r="A20" s="10" t="str">
        <x:v>G6</x:v>
      </x:c>
      <x:c r="B20" s="10" t="str">
        <x:v>VM06</x:v>
      </x:c>
      <x:c r="C20" s="10" t="str">
        <x:v>Sortie et suppression</x:v>
      </x:c>
      <x:c r="D20" s="10" t="str">
        <x:v>Non satisfaite</x:v>
      </x:c>
      <x:c r="E20" s="11"/>
      <x:c r="F20" s="11"/>
      <x:c r="G20" s="14"/>
    </x:row>
  </x:sheetData>
  <x:pageMargins left="0.7" right="0.7" top="0.75" bottom="0.75" header="0.3" footer="0.3"/>
  <x:tableParts count="1">
    <x:tablePart xmlns:r="http://schemas.openxmlformats.org/officeDocument/2006/relationships" r:id="Ree9153843e2a47b7"/>
  </x:tableParts>
</x:worksheet>
</file>